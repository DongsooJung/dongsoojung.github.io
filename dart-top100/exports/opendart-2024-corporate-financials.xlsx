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f67ba4f8f744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기업 실적" sheetId="1" r:id="Rfd10ebaeaf5948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0000000"/>
    <x:numFmt numFmtId="201" formatCode="000000"/>
    <x:numFmt numFmtId="202" formatCode="#,##0;[Red](#,##0);-"/>
    <x:numFmt numFmtId="203" formatCode="0.0%;[Red](0.0%);-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E3A8A"/>
      <x:name val="Carlito"/>
    </x:font>
    <x:font>
      <x:sz val="9"/>
      <x:color rgb="FF475569"/>
      <x:name val="Carlito"/>
    </x:font>
    <x:font>
      <x:b/>
      <x:sz val="11"/>
      <x:color rgb="FFFFFFFF"/>
      <x:name val="Carlito"/>
    </x:font>
    <x:font>
      <x:sz val="10"/>
      <x:color rgb="FF0F172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D4ED8"/>
      </x:patternFill>
    </x:fill>
    <x:fill>
      <x:patternFill patternType="solid">
        <x:fgColor rgb="FFDBEAFE"/>
      </x:patternFill>
    </x:fill>
    <x:fill>
      <x:patternFill patternType="solid">
        <x:fgColor rgb="FFEFF6FF"/>
      </x:patternFill>
    </x:fill>
    <x:fill>
      <x:patternFill patternType="solid">
        <x:fgColor rgb="FF1E3A8A"/>
      </x:patternFill>
    </x:fill>
  </x:fills>
  <x:borders count="8">
    <x:border/>
    <x:border>
      <x:right style="thin">
        <x:color rgb="FF93C5FD"/>
      </x:right>
    </x:border>
    <x:border>
      <x:left style="thin">
        <x:color rgb="FF93C5FD"/>
      </x:left>
      <x:right style="thin">
        <x:color rgb="FF93C5FD"/>
      </x:right>
    </x:border>
    <x:border>
      <x:left style="thin">
        <x:color rgb="FF93C5FD"/>
      </x:left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double">
        <x:color rgb="FF1D4ED8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horizontal="center" vertical="center"/>
    </x:xf>
    <x:xf numFmtId="0" fontId="5" fillId="0" borderId="5" xfId="0" applyNumberFormat="1" applyFont="1" applyFill="1" applyBorder="1" applyAlignment="1">
      <x:alignment horizontal="center" vertical="center"/>
    </x:xf>
    <x:xf numFmtId="0" fontId="5" fillId="0" borderId="6" xfId="0" applyNumberFormat="1" applyFont="1" applyFill="1" applyBorder="1" applyAlignment="1">
      <x:alignment horizontal="center" vertical="center"/>
    </x:xf>
    <x:xf numFmtId="200" fontId="5" fillId="0" borderId="4" xfId="0" applyNumberFormat="1" applyFont="1" applyFill="1" applyBorder="1" applyAlignment="1">
      <x:alignment horizontal="center" vertical="center"/>
    </x:xf>
    <x:xf numFmtId="200" fontId="5" fillId="0" borderId="5" xfId="0" applyNumberFormat="1" applyFont="1" applyFill="1" applyBorder="1" applyAlignment="1">
      <x:alignment horizontal="center" vertical="center"/>
    </x:xf>
    <x:xf numFmtId="200" fontId="5" fillId="0" borderId="6" xfId="0" applyNumberFormat="1" applyFont="1" applyFill="1" applyBorder="1" applyAlignment="1">
      <x:alignment horizontal="center" vertical="center"/>
    </x:xf>
    <x:xf numFmtId="201" fontId="5" fillId="0" borderId="4" xfId="0" applyNumberFormat="1" applyFont="1" applyFill="1" applyBorder="1" applyAlignment="1">
      <x:alignment horizontal="center" vertical="center"/>
    </x:xf>
    <x:xf numFmtId="201" fontId="5" fillId="0" borderId="5" xfId="0" applyNumberFormat="1" applyFont="1" applyFill="1" applyBorder="1" applyAlignment="1">
      <x:alignment horizontal="center" vertical="center"/>
    </x:xf>
    <x:xf numFmtId="201" fontId="5" fillId="0" borderId="6" xfId="0" applyNumberFormat="1" applyFont="1" applyFill="1" applyBorder="1" applyAlignment="1">
      <x:alignment horizontal="center" vertical="center"/>
    </x:xf>
    <x:xf numFmtId="202" fontId="5" fillId="0" borderId="4" xfId="0" applyNumberFormat="1" applyFont="1" applyFill="1" applyBorder="1" applyAlignment="1">
      <x:alignment vertical="center"/>
    </x:xf>
    <x:xf numFmtId="202" fontId="5" fillId="0" borderId="5" xfId="0" applyNumberFormat="1" applyFont="1" applyFill="1" applyBorder="1" applyAlignment="1">
      <x:alignment vertical="center"/>
    </x:xf>
    <x:xf numFmtId="202" fontId="5" fillId="0" borderId="6" xfId="0" applyNumberFormat="1" applyFont="1" applyFill="1" applyBorder="1" applyAlignment="1">
      <x:alignment vertical="center"/>
    </x:xf>
    <x:xf numFmtId="203" fontId="5" fillId="0" borderId="4" xfId="0" applyNumberFormat="1" applyFont="1" applyFill="1" applyBorder="1" applyAlignment="1">
      <x:alignment vertical="center"/>
    </x:xf>
    <x:xf numFmtId="203" fontId="5" fillId="0" borderId="5" xfId="0" applyNumberFormat="1" applyFont="1" applyFill="1" applyBorder="1" applyAlignment="1">
      <x:alignment vertical="center"/>
    </x:xf>
    <x:xf numFmtId="203" fontId="5" fillId="0" borderId="6" xfId="0" applyNumberFormat="1" applyFont="1" applyFill="1" applyBorder="1" applyAlignment="1">
      <x:alignment vertical="center"/>
    </x:xf>
    <x:xf numFmtId="0" fontId="2" fillId="3" borderId="7" xfId="0" applyNumberFormat="1" applyFont="1" applyFill="1" applyBorder="1"/>
    <x:xf numFmtId="0" fontId="2" fillId="3" borderId="7" xfId="0" applyNumberFormat="1" applyFont="1" applyFill="1" applyBorder="1" applyAlignment="1">
      <x:alignment vertical="center"/>
    </x:xf>
    <x:xf numFmtId="202" fontId="2" fillId="3" borderId="7" xfId="0" applyNumberFormat="1" applyFont="1" applyFill="1" applyBorder="1" applyAlignment="1">
      <x:alignment vertical="center"/>
    </x:xf>
    <x:xf numFmtId="203" fontId="2" fillId="3" borderId="7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1bfd27084646ff" /><Relationship Type="http://schemas.openxmlformats.org/officeDocument/2006/relationships/theme" Target="/xl/theme/theme1.xml" Id="Rebc38344577a4eea" /><Relationship Type="http://schemas.openxmlformats.org/officeDocument/2006/relationships/sharedStrings" Target="/xl/sharedStrings.xml" Id="R47c3597f21864a34" /><Relationship Type="http://schemas.openxmlformats.org/officeDocument/2006/relationships/worksheet" Target="/xl/worksheets/sheet1.xml" Id="Rfd10ebaeaf594844" /></Relationships>
</file>

<file path=xl/tables/table1.xml><?xml version="1.0" encoding="utf-8"?>
<x:table xmlns:x="http://schemas.openxmlformats.org/spreadsheetml/2006/main" id="1" name="OpenDart2024" displayName="OpenDart2024" ref="A4:P98" headerRowCount="1" totalsRowCount="0" totalsRowShown="0">
  <x:autoFilter ref="A4:P98"/>
  <x:tableColumns count="16">
    <x:tableColumn id="1" name="순위"/>
    <x:tableColumn id="2" name="기업명"/>
    <x:tableColumn id="3" name="법인코드"/>
    <x:tableColumn id="4" name="종목코드"/>
    <x:tableColumn id="5" name="재무제표"/>
    <x:tableColumn id="6" name="매출 1분기"/>
    <x:tableColumn id="7" name="매출 2분기"/>
    <x:tableColumn id="8" name="매출 3분기"/>
    <x:tableColumn id="9" name="매출 4분기"/>
    <x:tableColumn id="10" name="매출 누적/연간"/>
    <x:tableColumn id="11" name="영업이익 1분기"/>
    <x:tableColumn id="12" name="영업이익 2분기"/>
    <x:tableColumn id="13" name="영업이익 3분기"/>
    <x:tableColumn id="14" name="영업이익 4분기"/>
    <x:tableColumn id="15" name="영업이익 누적/연간"/>
    <x:tableColumn id="16" name="영업이익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472477b1c0f41f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12" hidden="0" customWidth="1"/>
    <x:col min="4" max="4" width="12" hidden="0" customWidth="1"/>
    <x:col min="5" max="5" width="1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3" hidden="0" customWidth="1"/>
  </x:cols>
  <x:sheetData>
    <x:row r="1" ht="30" customHeight="1">
      <x:c r="A1" s="3" t="str">
        <x:v>2024년 OpenDART 기업 분기별 매출액·영업이익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4" customHeight="1">
      <x:c r="A2" s="6" t="str">
        <x:v>공시분기: 1분기·2분기·3분기·4분기 | 기업 수: 94개 | 생성: 2026. 7. 26. AM 8:58:57 | 단위: 원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3" ht="36" customHeight="1">
      <x:c r="A3" s="10" t="str">
        <x:v>출처: https://opendart.fss.or.kr/ | OpenDART 정기보고서 기준. 연결재무제표 우선, 미제공 시 별도재무제표를 사용하며 분기 수치는 누적 금액을 검증·차감해 계산했습니다.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</x:row>
    <x:row r="4" ht="30" customHeight="1">
      <x:c r="A4" s="22" t="str">
        <x:v>순위</x:v>
      </x:c>
      <x:c r="B4" s="23" t="str">
        <x:v>기업명</x:v>
      </x:c>
      <x:c r="C4" s="23" t="str">
        <x:v>법인코드</x:v>
      </x:c>
      <x:c r="D4" s="23" t="str">
        <x:v>종목코드</x:v>
      </x:c>
      <x:c r="E4" s="23" t="str">
        <x:v>재무제표</x:v>
      </x:c>
      <x:c r="F4" s="23" t="str">
        <x:v>매출 1분기</x:v>
      </x:c>
      <x:c r="G4" s="23" t="str">
        <x:v>매출 2분기</x:v>
      </x:c>
      <x:c r="H4" s="23" t="str">
        <x:v>매출 3분기</x:v>
      </x:c>
      <x:c r="I4" s="23" t="str">
        <x:v>매출 4분기</x:v>
      </x:c>
      <x:c r="J4" s="23" t="str">
        <x:v>매출 누적/연간</x:v>
      </x:c>
      <x:c r="K4" s="23" t="str">
        <x:v>영업이익 1분기</x:v>
      </x:c>
      <x:c r="L4" s="23" t="str">
        <x:v>영업이익 2분기</x:v>
      </x:c>
      <x:c r="M4" s="23" t="str">
        <x:v>영업이익 3분기</x:v>
      </x:c>
      <x:c r="N4" s="23" t="str">
        <x:v>영업이익 4분기</x:v>
      </x:c>
      <x:c r="O4" s="23" t="str">
        <x:v>영업이익 누적/연간</x:v>
      </x:c>
      <x:c r="P4" s="24" t="str">
        <x:v>영업이익률</x:v>
      </x:c>
    </x:row>
    <x:row r="5">
      <x:c r="A5" s="32" t="n">
        <x:v>1</x:v>
      </x:c>
      <x:c r="B5" s="29" t="str">
        <x:v>삼성전자</x:v>
      </x:c>
      <x:c r="C5" s="35" t="n">
        <x:v>126380</x:v>
      </x:c>
      <x:c r="D5" s="38" t="n">
        <x:v>5930</x:v>
      </x:c>
      <x:c r="E5" s="32" t="str">
        <x:v>CFS</x:v>
      </x:c>
      <x:c r="F5" s="41" t="n">
        <x:v>71915601000000</x:v>
      </x:c>
      <x:c r="G5" s="41" t="n">
        <x:v>74068302000000</x:v>
      </x:c>
      <x:c r="H5" s="41" t="n">
        <x:v>79098731000000</x:v>
      </x:c>
      <x:c r="I5" s="41" t="n">
        <x:v>75788269000000</x:v>
      </x:c>
      <x:c r="J5" s="41" t="n">
        <x:f>SUM(F5:I5)</x:f>
        <x:v>300870903000000</x:v>
      </x:c>
      <x:c r="K5" s="41" t="n">
        <x:v>6606009000000</x:v>
      </x:c>
      <x:c r="L5" s="41" t="n">
        <x:v>10443878000000</x:v>
      </x:c>
      <x:c r="M5" s="41" t="n">
        <x:v>9183371000000</x:v>
      </x:c>
      <x:c r="N5" s="41" t="n">
        <x:v>6492703000000</x:v>
      </x:c>
      <x:c r="O5" s="41" t="n">
        <x:f>SUM(K5:N5)</x:f>
        <x:v>32725961000000</x:v>
      </x:c>
      <x:c r="P5" s="44" t="n">
        <x:f>IFERROR(O5/J5,0)</x:f>
        <x:v>0.10877077402197313</x:v>
      </x:c>
    </x:row>
    <x:row r="6">
      <x:c r="A6" s="33" t="n">
        <x:v>2</x:v>
      </x:c>
      <x:c r="B6" s="30" t="str">
        <x:v>현대자동차</x:v>
      </x:c>
      <x:c r="C6" s="36" t="n">
        <x:v>164742</x:v>
      </x:c>
      <x:c r="D6" s="39" t="n">
        <x:v>5380</x:v>
      </x:c>
      <x:c r="E6" s="33" t="str">
        <x:v>CFS</x:v>
      </x:c>
      <x:c r="F6" s="42" t="n">
        <x:v>40658539000000</x:v>
      </x:c>
      <x:c r="G6" s="42" t="n">
        <x:v>45020581000000</x:v>
      </x:c>
      <x:c r="H6" s="42" t="n">
        <x:v>42928332000000</x:v>
      </x:c>
      <x:c r="I6" s="42" t="n">
        <x:v>46623701000000</x:v>
      </x:c>
      <x:c r="J6" s="42" t="n">
        <x:f>SUM(F6:I6)</x:f>
        <x:v>175231153000000</x:v>
      </x:c>
      <x:c r="K6" s="42" t="n">
        <x:v>3557362000000</x:v>
      </x:c>
      <x:c r="L6" s="42" t="n">
        <x:v>4279136000000</x:v>
      </x:c>
      <x:c r="M6" s="42" t="n">
        <x:v>3580900000000</x:v>
      </x:c>
      <x:c r="N6" s="42" t="n">
        <x:v>2822194000000</x:v>
      </x:c>
      <x:c r="O6" s="42" t="n">
        <x:f>SUM(K6:N6)</x:f>
        <x:v>14239592000000</x:v>
      </x:c>
      <x:c r="P6" s="45" t="n">
        <x:f>IFERROR(O6/J6,0)</x:f>
        <x:v>0.08126176057290452</x:v>
      </x:c>
    </x:row>
    <x:row r="7">
      <x:c r="A7" s="33" t="n">
        <x:v>3</x:v>
      </x:c>
      <x:c r="B7" s="30" t="str">
        <x:v>기아</x:v>
      </x:c>
      <x:c r="C7" s="36" t="n">
        <x:v>106641</x:v>
      </x:c>
      <x:c r="D7" s="39" t="n">
        <x:v>270</x:v>
      </x:c>
      <x:c r="E7" s="33" t="str">
        <x:v>CFS</x:v>
      </x:c>
      <x:c r="F7" s="42" t="n">
        <x:v>26212851000000</x:v>
      </x:c>
      <x:c r="G7" s="42" t="n">
        <x:v>27567907000000</x:v>
      </x:c>
      <x:c r="H7" s="42" t="n">
        <x:v>26519877000000</x:v>
      </x:c>
      <x:c r="I7" s="42" t="n">
        <x:v>27148117000000</x:v>
      </x:c>
      <x:c r="J7" s="42" t="n">
        <x:f>SUM(F7:I7)</x:f>
        <x:v>107448752000000</x:v>
      </x:c>
      <x:c r="K7" s="42" t="n">
        <x:v>3425710000000</x:v>
      </x:c>
      <x:c r="L7" s="42" t="n">
        <x:v>3643732000000</x:v>
      </x:c>
      <x:c r="M7" s="42" t="n">
        <x:v>2881280000000</x:v>
      </x:c>
      <x:c r="N7" s="42" t="n">
        <x:v>2716417000000</x:v>
      </x:c>
      <x:c r="O7" s="42" t="n">
        <x:f>SUM(K7:N7)</x:f>
        <x:v>12667139000000</x:v>
      </x:c>
      <x:c r="P7" s="45" t="n">
        <x:f>IFERROR(O7/J7,0)</x:f>
        <x:v>0.11789005236654587</x:v>
      </x:c>
    </x:row>
    <x:row r="8">
      <x:c r="A8" s="33" t="n">
        <x:v>4</x:v>
      </x:c>
      <x:c r="B8" s="30" t="str">
        <x:v>한국전력공사</x:v>
      </x:c>
      <x:c r="C8" s="36" t="n">
        <x:v>159193</x:v>
      </x:c>
      <x:c r="D8" s="39" t="n">
        <x:v>15760</x:v>
      </x:c>
      <x:c r="E8" s="33" t="str">
        <x:v>CFS</x:v>
      </x:c>
      <x:c r="F8" s="42" t="n">
        <x:v>23292743000000</x:v>
      </x:c>
      <x:c r="G8" s="42" t="n">
        <x:v>20473707000000</x:v>
      </x:c>
      <x:c r="H8" s="42" t="n">
        <x:v>26103357000000</x:v>
      </x:c>
      <x:c r="I8" s="42" t="n">
        <x:v>23529089000000</x:v>
      </x:c>
      <x:c r="J8" s="42" t="n">
        <x:f>SUM(F8:I8)</x:f>
        <x:v>93398896000000</x:v>
      </x:c>
      <x:c r="K8" s="42" t="n">
        <x:v>1299343000000</x:v>
      </x:c>
      <x:c r="L8" s="42" t="n">
        <x:v>1250262000000</x:v>
      </x:c>
      <x:c r="M8" s="42" t="n">
        <x:v>3396055000000</x:v>
      </x:c>
      <x:c r="N8" s="42" t="n">
        <x:v>2419050000000</x:v>
      </x:c>
      <x:c r="O8" s="42" t="n">
        <x:f>SUM(K8:N8)</x:f>
        <x:v>8364710000000</x:v>
      </x:c>
      <x:c r="P8" s="45" t="n">
        <x:f>IFERROR(O8/J8,0)</x:f>
        <x:v>0.08955898151087353</x:v>
      </x:c>
    </x:row>
    <x:row r="9">
      <x:c r="A9" s="33" t="n">
        <x:v>5</x:v>
      </x:c>
      <x:c r="B9" s="30" t="str">
        <x:v>LG전자</x:v>
      </x:c>
      <x:c r="C9" s="36" t="n">
        <x:v>401731</x:v>
      </x:c>
      <x:c r="D9" s="39" t="n">
        <x:v>66570</x:v>
      </x:c>
      <x:c r="E9" s="33" t="str">
        <x:v>CFS</x:v>
      </x:c>
      <x:c r="F9" s="42" t="n">
        <x:v>21095949000000</x:v>
      </x:c>
      <x:c r="G9" s="42" t="n">
        <x:v>21694366000000</x:v>
      </x:c>
      <x:c r="H9" s="42" t="n">
        <x:v>22176370000000</x:v>
      </x:c>
      <x:c r="I9" s="42" t="n">
        <x:v>22761475000000</x:v>
      </x:c>
      <x:c r="J9" s="42" t="n">
        <x:f>SUM(F9:I9)</x:f>
        <x:v>87728160000000</x:v>
      </x:c>
      <x:c r="K9" s="42" t="n">
        <x:v>1335411000000</x:v>
      </x:c>
      <x:c r="L9" s="42" t="n">
        <x:v>1196146000000</x:v>
      </x:c>
      <x:c r="M9" s="42" t="n">
        <x:v>751880000000</x:v>
      </x:c>
      <x:c r="N9" s="42" t="n">
        <x:v>135331000000</x:v>
      </x:c>
      <x:c r="O9" s="42" t="n">
        <x:f>SUM(K9:N9)</x:f>
        <x:v>3418768000000</x:v>
      </x:c>
      <x:c r="P9" s="45" t="n">
        <x:f>IFERROR(O9/J9,0)</x:f>
        <x:v>0.03897001829287198</x:v>
      </x:c>
    </x:row>
    <x:row r="10">
      <x:c r="A10" s="33" t="n">
        <x:v>6</x:v>
      </x:c>
      <x:c r="B10" s="30" t="str">
        <x:v>SK이노베이션</x:v>
      </x:c>
      <x:c r="C10" s="36" t="n">
        <x:v>631518</x:v>
      </x:c>
      <x:c r="D10" s="39" t="n">
        <x:v>96770</x:v>
      </x:c>
      <x:c r="E10" s="33" t="str">
        <x:v>CFS</x:v>
      </x:c>
      <x:c r="F10" s="42" t="n">
        <x:v>18855139067000</x:v>
      </x:c>
      <x:c r="G10" s="42" t="n">
        <x:v>18799113475000</x:v>
      </x:c>
      <x:c r="H10" s="42" t="n">
        <x:v>17657045387000</x:v>
      </x:c>
      <x:c r="I10" s="42" t="n">
        <x:v>19405672245000</x:v>
      </x:c>
      <x:c r="J10" s="42" t="n">
        <x:f>SUM(F10:I10)</x:f>
        <x:v>74716970174000</x:v>
      </x:c>
      <x:c r="K10" s="42" t="n">
        <x:v>624735801000</x:v>
      </x:c>
      <x:c r="L10" s="42" t="n">
        <x:v>-45842439000</x:v>
      </x:c>
      <x:c r="M10" s="42" t="n">
        <x:v>-423337809000</x:v>
      </x:c>
      <x:c r="N10" s="42" t="n">
        <x:v>159932785000</x:v>
      </x:c>
      <x:c r="O10" s="42" t="n">
        <x:f>SUM(K10:N10)</x:f>
        <x:v>315488338000</x:v>
      </x:c>
      <x:c r="P10" s="45" t="n">
        <x:f>IFERROR(O10/J10,0)</x:f>
        <x:v>0.004222445547046334</x:v>
      </x:c>
    </x:row>
    <x:row r="11">
      <x:c r="A11" s="33" t="n">
        <x:v>7</x:v>
      </x:c>
      <x:c r="B11" s="30" t="str">
        <x:v>포스코홀딩스</x:v>
      </x:c>
      <x:c r="C11" s="36" t="n">
        <x:v>155319</x:v>
      </x:c>
      <x:c r="D11" s="39" t="n">
        <x:v>5490</x:v>
      </x:c>
      <x:c r="E11" s="33" t="str">
        <x:v>CFS</x:v>
      </x:c>
      <x:c r="F11" s="42" t="n">
        <x:v>18051950135080</x:v>
      </x:c>
      <x:c r="G11" s="42" t="n">
        <x:v>18509680963034</x:v>
      </x:c>
      <x:c r="H11" s="42" t="n">
        <x:v>18321368302443</x:v>
      </x:c>
      <x:c r="I11" s="42" t="n">
        <x:v>17805143759554</x:v>
      </x:c>
      <x:c r="J11" s="42" t="n">
        <x:f>SUM(F11:I11)</x:f>
        <x:v>72688143160111</x:v>
      </x:c>
      <x:c r="K11" s="42" t="n">
        <x:v>583022283295</x:v>
      </x:c>
      <x:c r="L11" s="42" t="n">
        <x:v>751999831661</x:v>
      </x:c>
      <x:c r="M11" s="42" t="n">
        <x:v>743166593794</x:v>
      </x:c>
      <x:c r="N11" s="42" t="n">
        <x:v>95384564154</x:v>
      </x:c>
      <x:c r="O11" s="42" t="n">
        <x:f>SUM(K11:N11)</x:f>
        <x:v>2173573272904</x:v>
      </x:c>
      <x:c r="P11" s="45" t="n">
        <x:f>IFERROR(O11/J11,0)</x:f>
        <x:v>0.029902721109772268</x:v>
      </x:c>
    </x:row>
    <x:row r="12">
      <x:c r="A12" s="33" t="n">
        <x:v>8</x:v>
      </x:c>
      <x:c r="B12" s="30" t="str">
        <x:v>HD현대</x:v>
      </x:c>
      <x:c r="C12" s="36" t="n">
        <x:v>1205709</x:v>
      </x:c>
      <x:c r="D12" s="39" t="n">
        <x:v>267250</x:v>
      </x:c>
      <x:c r="E12" s="33" t="str">
        <x:v>CFS</x:v>
      </x:c>
      <x:c r="F12" s="42" t="n">
        <x:v>16514417915000</x:v>
      </x:c>
      <x:c r="G12" s="42" t="n">
        <x:v>17554834298000</x:v>
      </x:c>
      <x:c r="H12" s="42" t="n">
        <x:v>16599169952000</x:v>
      </x:c>
      <x:c r="I12" s="42" t="n">
        <x:v>17097203923000</x:v>
      </x:c>
      <x:c r="J12" s="42" t="n">
        <x:f>SUM(F12:I12)</x:f>
        <x:v>67765626088000</x:v>
      </x:c>
      <x:c r="K12" s="42" t="n">
        <x:v>793639750000</x:v>
      </x:c>
      <x:c r="L12" s="42" t="n">
        <x:v>879816617000</x:v>
      </x:c>
      <x:c r="M12" s="42" t="n">
        <x:v>431556651000</x:v>
      </x:c>
      <x:c r="N12" s="42" t="n">
        <x:v>878149760000</x:v>
      </x:c>
      <x:c r="O12" s="42" t="n">
        <x:f>SUM(K12:N12)</x:f>
        <x:v>2983162778000</x:v>
      </x:c>
      <x:c r="P12" s="45" t="n">
        <x:f>IFERROR(O12/J12,0)</x:f>
        <x:v>0.04402176959342313</x:v>
      </x:c>
    </x:row>
    <x:row r="13">
      <x:c r="A13" s="33" t="n">
        <x:v>9</x:v>
      </x:c>
      <x:c r="B13" s="30" t="str">
        <x:v>SK하이닉스</x:v>
      </x:c>
      <x:c r="C13" s="36" t="n">
        <x:v>164779</x:v>
      </x:c>
      <x:c r="D13" s="39" t="n">
        <x:v>660</x:v>
      </x:c>
      <x:c r="E13" s="33" t="str">
        <x:v>CFS</x:v>
      </x:c>
      <x:c r="F13" s="42" t="n">
        <x:v>12429598000000</x:v>
      </x:c>
      <x:c r="G13" s="42" t="n">
        <x:v>16423258000000</x:v>
      </x:c>
      <x:c r="H13" s="42" t="n">
        <x:v>17573069000000</x:v>
      </x:c>
      <x:c r="I13" s="42" t="n">
        <x:v>19767035000000</x:v>
      </x:c>
      <x:c r="J13" s="42" t="n">
        <x:f>SUM(F13:I13)</x:f>
        <x:v>66192960000000</x:v>
      </x:c>
      <x:c r="K13" s="42" t="n">
        <x:v>2886029000000</x:v>
      </x:c>
      <x:c r="L13" s="42" t="n">
        <x:v>5468536000000</x:v>
      </x:c>
      <x:c r="M13" s="42" t="n">
        <x:v>7029958000000</x:v>
      </x:c>
      <x:c r="N13" s="42" t="n">
        <x:v>8082796000000</x:v>
      </x:c>
      <x:c r="O13" s="42" t="n">
        <x:f>SUM(K13:N13)</x:f>
        <x:v>23467319000000</x:v>
      </x:c>
      <x:c r="P13" s="45" t="n">
        <x:f>IFERROR(O13/J13,0)</x:f>
        <x:v>0.35452892573470046</x:v>
      </x:c>
    </x:row>
    <x:row r="14">
      <x:c r="A14" s="33" t="n">
        <x:v>10</x:v>
      </x:c>
      <x:c r="B14" s="30" t="str">
        <x:v>현대모비스</x:v>
      </x:c>
      <x:c r="C14" s="36" t="n">
        <x:v>164788</x:v>
      </x:c>
      <x:c r="D14" s="39" t="n">
        <x:v>12330</x:v>
      </x:c>
      <x:c r="E14" s="33" t="str">
        <x:v>CFS</x:v>
      </x:c>
      <x:c r="F14" s="42" t="n">
        <x:v>13869224000000</x:v>
      </x:c>
      <x:c r="G14" s="42" t="n">
        <x:v>14655307000000</x:v>
      </x:c>
      <x:c r="H14" s="42" t="n">
        <x:v>14001808000000</x:v>
      </x:c>
      <x:c r="I14" s="42" t="n">
        <x:v>14710656000000</x:v>
      </x:c>
      <x:c r="J14" s="42" t="n">
        <x:f>SUM(F14:I14)</x:f>
        <x:v>57236995000000</x:v>
      </x:c>
      <x:c r="K14" s="42" t="n">
        <x:v>542660000000</x:v>
      </x:c>
      <x:c r="L14" s="42" t="n">
        <x:v>636107000000</x:v>
      </x:c>
      <x:c r="M14" s="42" t="n">
        <x:v>908556000000</x:v>
      </x:c>
      <x:c r="N14" s="42" t="n">
        <x:v>986133000000</x:v>
      </x:c>
      <x:c r="O14" s="42" t="n">
        <x:f>SUM(K14:N14)</x:f>
        <x:v>3073456000000</x:v>
      </x:c>
      <x:c r="P14" s="45" t="n">
        <x:f>IFERROR(O14/J14,0)</x:f>
        <x:v>0.053697018859917435</x:v>
      </x:c>
    </x:row>
    <x:row r="15">
      <x:c r="A15" s="33" t="n">
        <x:v>11</x:v>
      </x:c>
      <x:c r="B15" s="30" t="str">
        <x:v>한화</x:v>
      </x:c>
      <x:c r="C15" s="36" t="n">
        <x:v>160588</x:v>
      </x:c>
      <x:c r="D15" s="39" t="n">
        <x:v>880</x:v>
      </x:c>
      <x:c r="E15" s="33" t="str">
        <x:v>CFS</x:v>
      </x:c>
      <x:c r="F15" s="42" t="n">
        <x:v>12435370000000</x:v>
      </x:c>
      <x:c r="G15" s="42" t="n">
        <x:v>12992719000000</x:v>
      </x:c>
      <x:c r="H15" s="42" t="n">
        <x:v>12218263000000</x:v>
      </x:c>
      <x:c r="I15" s="42" t="n">
        <x:v>18000477000000</x:v>
      </x:c>
      <x:c r="J15" s="42" t="n">
        <x:f>SUM(F15:I15)</x:f>
        <x:v>55646829000000</x:v>
      </x:c>
      <x:c r="K15" s="42" t="n">
        <x:v>235771000000</x:v>
      </x:c>
      <x:c r="L15" s="42" t="n">
        <x:v>528567000000</x:v>
      </x:c>
      <x:c r="M15" s="42" t="n">
        <x:v>525432000000</x:v>
      </x:c>
      <x:c r="N15" s="42" t="n">
        <x:v>1126338000000</x:v>
      </x:c>
      <x:c r="O15" s="42" t="n">
        <x:f>SUM(K15:N15)</x:f>
        <x:v>2416108000000</x:v>
      </x:c>
      <x:c r="P15" s="45" t="n">
        <x:f>IFERROR(O15/J15,0)</x:f>
        <x:v>0.04341861060942035</x:v>
      </x:c>
    </x:row>
    <x:row r="16">
      <x:c r="A16" s="33" t="n">
        <x:v>12</x:v>
      </x:c>
      <x:c r="B16" s="30" t="str">
        <x:v>LG화학</x:v>
      </x:c>
      <x:c r="C16" s="36" t="n">
        <x:v>356361</x:v>
      </x:c>
      <x:c r="D16" s="39" t="n">
        <x:v>51910</x:v>
      </x:c>
      <x:c r="E16" s="33" t="str">
        <x:v>CFS</x:v>
      </x:c>
      <x:c r="F16" s="42" t="n">
        <x:v>11609432000000</x:v>
      </x:c>
      <x:c r="G16" s="42" t="n">
        <x:v>12299672000000</x:v>
      </x:c>
      <x:c r="H16" s="42" t="n">
        <x:v>12670398000000</x:v>
      </x:c>
      <x:c r="I16" s="42" t="n">
        <x:v>12336602000000</x:v>
      </x:c>
      <x:c r="J16" s="42" t="n">
        <x:f>SUM(F16:I16)</x:f>
        <x:v>48916104000000</x:v>
      </x:c>
      <x:c r="K16" s="42" t="n">
        <x:v>264631000000</x:v>
      </x:c>
      <x:c r="L16" s="42" t="n">
        <x:v>405860000000</x:v>
      </x:c>
      <x:c r="M16" s="42" t="n">
        <x:v>498356000000</x:v>
      </x:c>
      <x:c r="N16" s="42" t="n">
        <x:v>-252049000000</x:v>
      </x:c>
      <x:c r="O16" s="42" t="n">
        <x:f>SUM(K16:N16)</x:f>
        <x:v>916798000000</x:v>
      </x:c>
      <x:c r="P16" s="45" t="n">
        <x:f>IFERROR(O16/J16,0)</x:f>
        <x:v>0.01874225306250882</x:v>
      </x:c>
    </x:row>
    <x:row r="17">
      <x:c r="A17" s="33" t="n">
        <x:v>13</x:v>
      </x:c>
      <x:c r="B17" s="30" t="str">
        <x:v>삼성물산</x:v>
      </x:c>
      <x:c r="C17" s="36" t="n">
        <x:v>149655</x:v>
      </x:c>
      <x:c r="D17" s="39" t="n">
        <x:v>28260</x:v>
      </x:c>
      <x:c r="E17" s="33" t="str">
        <x:v>CFS</x:v>
      </x:c>
      <x:c r="F17" s="42" t="n">
        <x:v>10795789139623</x:v>
      </x:c>
      <x:c r="G17" s="42" t="n">
        <x:v>11004818659155</x:v>
      </x:c>
      <x:c r="H17" s="42" t="n">
        <x:v>10309866853904</x:v>
      </x:c>
      <x:c r="I17" s="42" t="n">
        <x:v>9992763374654</x:v>
      </x:c>
      <x:c r="J17" s="42" t="n">
        <x:f>SUM(F17:I17)</x:f>
        <x:v>42103238027336</x:v>
      </x:c>
      <x:c r="K17" s="42" t="n">
        <x:v>712311322722</x:v>
      </x:c>
      <x:c r="L17" s="42" t="n">
        <x:v>900371845266</x:v>
      </x:c>
      <x:c r="M17" s="42" t="n">
        <x:v>736149760171</x:v>
      </x:c>
      <x:c r="N17" s="42" t="n">
        <x:v>634563766759</x:v>
      </x:c>
      <x:c r="O17" s="42" t="n">
        <x:f>SUM(K17:N17)</x:f>
        <x:v>2983396694918</x:v>
      </x:c>
      <x:c r="P17" s="45" t="n">
        <x:f>IFERROR(O17/J17,0)</x:f>
        <x:v>0.07085907960287986</x:v>
      </x:c>
    </x:row>
    <x:row r="18">
      <x:c r="A18" s="33" t="n">
        <x:v>14</x:v>
      </x:c>
      <x:c r="B18" s="30" t="str">
        <x:v>한국가스공사</x:v>
      </x:c>
      <x:c r="C18" s="36" t="n">
        <x:v>261285</x:v>
      </x:c>
      <x:c r="D18" s="39" t="n">
        <x:v>36460</x:v>
      </x:c>
      <x:c r="E18" s="33" t="str">
        <x:v>CFS</x:v>
      </x:c>
      <x:c r="F18" s="42" t="n">
        <x:v>12810655397210</x:v>
      </x:c>
      <x:c r="G18" s="42" t="n">
        <x:v>7533827391802</x:v>
      </x:c>
      <x:c r="H18" s="42" t="n">
        <x:v>8109307589519</x:v>
      </x:c>
      <x:c r="I18" s="42" t="n">
        <x:v>9978964454827</x:v>
      </x:c>
      <x:c r="J18" s="42" t="n">
        <x:f>SUM(F18:I18)</x:f>
        <x:v>38432754833358</x:v>
      </x:c>
      <x:c r="K18" s="42" t="n">
        <x:v>921576549515</x:v>
      </x:c>
      <x:c r="L18" s="42" t="n">
        <x:v>465718902284</x:v>
      </x:c>
      <x:c r="M18" s="42" t="n">
        <x:v>439728179741</x:v>
      </x:c>
      <x:c r="N18" s="42" t="n">
        <x:v>1176339368460</x:v>
      </x:c>
      <x:c r="O18" s="42" t="n">
        <x:f>SUM(K18:N18)</x:f>
        <x:v>3003363000000</x:v>
      </x:c>
      <x:c r="P18" s="45" t="n">
        <x:f>IFERROR(O18/J18,0)</x:f>
        <x:v>0.07814592040103273</x:v>
      </x:c>
    </x:row>
    <x:row r="19">
      <x:c r="A19" s="33" t="n">
        <x:v>15</x:v>
      </x:c>
      <x:c r="B19" s="30" t="str">
        <x:v>S-Oil</x:v>
      </x:c>
      <x:c r="C19" s="36" t="n">
        <x:v>138279</x:v>
      </x:c>
      <x:c r="D19" s="39" t="n">
        <x:v>10950</x:v>
      </x:c>
      <x:c r="E19" s="33" t="str">
        <x:v>CFS</x:v>
      </x:c>
      <x:c r="F19" s="42" t="n">
        <x:v>9308489000000</x:v>
      </x:c>
      <x:c r="G19" s="42" t="n">
        <x:v>9570838000000</x:v>
      </x:c>
      <x:c r="H19" s="42" t="n">
        <x:v>8840623000000</x:v>
      </x:c>
      <x:c r="I19" s="42" t="n">
        <x:v>8917081000000</x:v>
      </x:c>
      <x:c r="J19" s="42" t="n">
        <x:f>SUM(F19:I19)</x:f>
        <x:v>36637031000000</x:v>
      </x:c>
      <x:c r="K19" s="42" t="n">
        <x:v>454106000000</x:v>
      </x:c>
      <x:c r="L19" s="42" t="n">
        <x:v>160647000000</x:v>
      </x:c>
      <x:c r="M19" s="42" t="n">
        <x:v>-414948000000</x:v>
      </x:c>
      <x:c r="N19" s="42" t="n">
        <x:v>222372000000</x:v>
      </x:c>
      <x:c r="O19" s="42" t="n">
        <x:f>SUM(K19:N19)</x:f>
        <x:v>422177000000</x:v>
      </x:c>
      <x:c r="P19" s="45" t="n">
        <x:f>IFERROR(O19/J19,0)</x:f>
        <x:v>0.011523231781527275</x:v>
      </x:c>
    </x:row>
    <x:row r="20">
      <x:c r="A20" s="33" t="n">
        <x:v>16</x:v>
      </x:c>
      <x:c r="B20" s="30" t="str">
        <x:v>현대건설</x:v>
      </x:c>
      <x:c r="C20" s="36" t="n">
        <x:v>164478</x:v>
      </x:c>
      <x:c r="D20" s="39" t="n">
        <x:v>720</x:v>
      </x:c>
      <x:c r="E20" s="33" t="str">
        <x:v>CFS</x:v>
      </x:c>
      <x:c r="F20" s="42" t="n">
        <x:v>8545258000000</x:v>
      </x:c>
      <x:c r="G20" s="42" t="n">
        <x:v>8621236000000</x:v>
      </x:c>
      <x:c r="H20" s="42" t="n">
        <x:v>8256906000000</x:v>
      </x:c>
      <x:c r="I20" s="42" t="n">
        <x:v>7246868000000</x:v>
      </x:c>
      <x:c r="J20" s="42" t="n">
        <x:f>SUM(F20:I20)</x:f>
        <x:v>32670268000000</x:v>
      </x:c>
      <x:c r="K20" s="42" t="n">
        <x:v>250913000000</x:v>
      </x:c>
      <x:c r="L20" s="42" t="n">
        <x:v>147303000000</x:v>
      </x:c>
      <x:c r="M20" s="42" t="n">
        <x:v>114291000000</x:v>
      </x:c>
      <x:c r="N20" s="42" t="n">
        <x:v>-1775927000000</x:v>
      </x:c>
      <x:c r="O20" s="42" t="n">
        <x:f>SUM(K20:N20)</x:f>
        <x:v>-1263420000000</x:v>
      </x:c>
      <x:c r="P20" s="45" t="n">
        <x:f>IFERROR(O20/J20,0)</x:f>
        <x:v>-0.038671859073822104</x:v>
      </x:c>
    </x:row>
    <x:row r="21">
      <x:c r="A21" s="33" t="n">
        <x:v>17</x:v>
      </x:c>
      <x:c r="B21" s="30" t="str">
        <x:v>CJ제일제당</x:v>
      </x:c>
      <x:c r="C21" s="36" t="n">
        <x:v>635134</x:v>
      </x:c>
      <x:c r="D21" s="39" t="n">
        <x:v>97950</x:v>
      </x:c>
      <x:c r="E21" s="33" t="str">
        <x:v>CFS</x:v>
      </x:c>
      <x:c r="F21" s="42" t="n">
        <x:v>7215960546000</x:v>
      </x:c>
      <x:c r="G21" s="42" t="n">
        <x:v>7238674606000</x:v>
      </x:c>
      <x:c r="H21" s="42" t="n">
        <x:v>7414278491000</x:v>
      </x:c>
      <x:c r="I21" s="42" t="n">
        <x:v>7490168180000</x:v>
      </x:c>
      <x:c r="J21" s="42" t="n">
        <x:f>SUM(F21:I21)</x:f>
        <x:v>29359081823000</x:v>
      </x:c>
      <x:c r="K21" s="42" t="n">
        <x:v>375944152000</x:v>
      </x:c>
      <x:c r="L21" s="42" t="n">
        <x:v>383560174000</x:v>
      </x:c>
      <x:c r="M21" s="42" t="n">
        <x:v>416193547000</x:v>
      </x:c>
      <x:c r="N21" s="42" t="n">
        <x:v>377319765000</x:v>
      </x:c>
      <x:c r="O21" s="42" t="n">
        <x:f>SUM(K21:N21)</x:f>
        <x:v>1553017638000</x:v>
      </x:c>
      <x:c r="P21" s="45" t="n">
        <x:f>IFERROR(O21/J21,0)</x:f>
        <x:v>0.05289735037910351</x:v>
      </x:c>
    </x:row>
    <x:row r="22">
      <x:c r="A22" s="33" t="n">
        <x:v>18</x:v>
      </x:c>
      <x:c r="B22" s="30" t="str">
        <x:v>이마트</x:v>
      </x:c>
      <x:c r="C22" s="36" t="n">
        <x:v>872984</x:v>
      </x:c>
      <x:c r="D22" s="39" t="n">
        <x:v>139480</x:v>
      </x:c>
      <x:c r="E22" s="33" t="str">
        <x:v>CFS</x:v>
      </x:c>
      <x:c r="F22" s="42" t="n">
        <x:v>7206713073664</x:v>
      </x:c>
      <x:c r="G22" s="42" t="n">
        <x:v>7055986092073</x:v>
      </x:c>
      <x:c r="H22" s="42" t="n">
        <x:v>7508472953696</x:v>
      </x:c>
      <x:c r="I22" s="42" t="n">
        <x:v>7249724741415</x:v>
      </x:c>
      <x:c r="J22" s="42" t="n">
        <x:f>SUM(F22:I22)</x:f>
        <x:v>29020896860848</x:v>
      </x:c>
      <x:c r="K22" s="42" t="n">
        <x:v>47103670579</x:v>
      </x:c>
      <x:c r="L22" s="42" t="n">
        <x:v>-34636421554</x:v>
      </x:c>
      <x:c r="M22" s="42" t="n">
        <x:v>111713916129</x:v>
      </x:c>
      <x:c r="N22" s="42" t="n">
        <x:v>-77083021012</x:v>
      </x:c>
      <x:c r="O22" s="42" t="n">
        <x:f>SUM(K22:N22)</x:f>
        <x:v>47098144142</x:v>
      </x:c>
      <x:c r="P22" s="45" t="n">
        <x:f>IFERROR(O22/J22,0)</x:f>
        <x:v>0.0016229045011196728</x:v>
      </x:c>
    </x:row>
    <x:row r="23">
      <x:c r="A23" s="33" t="n">
        <x:v>19</x:v>
      </x:c>
      <x:c r="B23" s="30" t="str">
        <x:v>현대글로비스</x:v>
      </x:c>
      <x:c r="C23" s="36" t="n">
        <x:v>360595</x:v>
      </x:c>
      <x:c r="D23" s="39" t="n">
        <x:v>86280</x:v>
      </x:c>
      <x:c r="E23" s="33" t="str">
        <x:v>CFS</x:v>
      </x:c>
      <x:c r="F23" s="42" t="n">
        <x:v>6586435843370</x:v>
      </x:c>
      <x:c r="G23" s="42" t="n">
        <x:v>7064318730070</x:v>
      </x:c>
      <x:c r="H23" s="42" t="n">
        <x:v>7468714044386</x:v>
      </x:c>
      <x:c r="I23" s="42" t="n">
        <x:v>7287905683489</x:v>
      </x:c>
      <x:c r="J23" s="42" t="n">
        <x:f>SUM(F23:I23)</x:f>
        <x:v>28407374301315</x:v>
      </x:c>
      <x:c r="K23" s="42" t="n">
        <x:v>384769180897</x:v>
      </x:c>
      <x:c r="L23" s="42" t="n">
        <x:v>439290464321</x:v>
      </x:c>
      <x:c r="M23" s="42" t="n">
        <x:v>469066378836</x:v>
      </x:c>
      <x:c r="N23" s="42" t="n">
        <x:v>459741418172</x:v>
      </x:c>
      <x:c r="O23" s="42" t="n">
        <x:f>SUM(K23:N23)</x:f>
        <x:v>1752867442226</x:v>
      </x:c>
      <x:c r="P23" s="45" t="n">
        <x:f>IFERROR(O23/J23,0)</x:f>
        <x:v>0.061704662445513606</x:v>
      </x:c>
    </x:row>
    <x:row r="24">
      <x:c r="A24" s="33" t="n">
        <x:v>20</x:v>
      </x:c>
      <x:c r="B24" s="30" t="str">
        <x:v>LS</x:v>
      </x:c>
      <x:c r="C24" s="36" t="n">
        <x:v>105952</x:v>
      </x:c>
      <x:c r="D24" s="39" t="n">
        <x:v>6260</x:v>
      </x:c>
      <x:c r="E24" s="33" t="str">
        <x:v>CFS</x:v>
      </x:c>
      <x:c r="F24" s="42" t="n">
        <x:v>5945027000000</x:v>
      </x:c>
      <x:c r="G24" s="42" t="n">
        <x:v>7414274000000</x:v>
      </x:c>
      <x:c r="H24" s="42" t="n">
        <x:v>7085497000000</x:v>
      </x:c>
      <x:c r="I24" s="42" t="n">
        <x:v>7099865000000</x:v>
      </x:c>
      <x:c r="J24" s="42" t="n">
        <x:f>SUM(F24:I24)</x:f>
        <x:v>27544663000000</x:v>
      </x:c>
      <x:c r="K24" s="42" t="n">
        <x:v>243669000000</x:v>
      </x:c>
      <x:c r="L24" s="42" t="n">
        <x:v>374383000000</x:v>
      </x:c>
      <x:c r="M24" s="42" t="n">
        <x:v>157098000000</x:v>
      </x:c>
      <x:c r="N24" s="42" t="n">
        <x:v>297792000000</x:v>
      </x:c>
      <x:c r="O24" s="42" t="n">
        <x:f>SUM(K24:N24)</x:f>
        <x:v>1072942000000</x:v>
      </x:c>
      <x:c r="P24" s="45" t="n">
        <x:f>IFERROR(O24/J24,0)</x:f>
        <x:v>0.03895280911587119</x:v>
      </x:c>
    </x:row>
    <x:row r="25">
      <x:c r="A25" s="33" t="n">
        <x:v>21</x:v>
      </x:c>
      <x:c r="B25" s="30" t="str">
        <x:v>LG디스플레이</x:v>
      </x:c>
      <x:c r="C25" s="36" t="n">
        <x:v>105873</x:v>
      </x:c>
      <x:c r="D25" s="39" t="n">
        <x:v>34220</x:v>
      </x:c>
      <x:c r="E25" s="33" t="str">
        <x:v>CFS</x:v>
      </x:c>
      <x:c r="F25" s="42" t="n">
        <x:v>5252975000000</x:v>
      </x:c>
      <x:c r="G25" s="42" t="n">
        <x:v>6708199000000</x:v>
      </x:c>
      <x:c r="H25" s="42" t="n">
        <x:v>6821301000000</x:v>
      </x:c>
      <x:c r="I25" s="42" t="n">
        <x:v>7832872000000</x:v>
      </x:c>
      <x:c r="J25" s="42" t="n">
        <x:f>SUM(F25:I25)</x:f>
        <x:v>26615347000000</x:v>
      </x:c>
      <x:c r="K25" s="42" t="n">
        <x:v>-469432000000</x:v>
      </x:c>
      <x:c r="L25" s="42" t="n">
        <x:v>-93673000000</x:v>
      </x:c>
      <x:c r="M25" s="42" t="n">
        <x:v>-80599000000</x:v>
      </x:c>
      <x:c r="N25" s="42" t="n">
        <x:v>83108000000</x:v>
      </x:c>
      <x:c r="O25" s="42" t="n">
        <x:f>SUM(K25:N25)</x:f>
        <x:v>-560596000000</x:v>
      </x:c>
      <x:c r="P25" s="45" t="n">
        <x:f>IFERROR(O25/J25,0)</x:f>
        <x:v>-0.02106288525939564</x:v>
      </x:c>
    </x:row>
    <x:row r="26">
      <x:c r="A26" s="33" t="n">
        <x:v>22</x:v>
      </x:c>
      <x:c r="B26" s="30" t="str">
        <x:v>KT</x:v>
      </x:c>
      <x:c r="C26" s="36" t="n">
        <x:v>190321</x:v>
      </x:c>
      <x:c r="D26" s="39" t="n">
        <x:v>30200</x:v>
      </x:c>
      <x:c r="E26" s="33" t="str">
        <x:v>CFS</x:v>
      </x:c>
      <x:c r="F26" s="42" t="n">
        <x:v>6654574000000</x:v>
      </x:c>
      <x:c r="G26" s="42" t="n">
        <x:v>6546399000000</x:v>
      </x:c>
      <x:c r="H26" s="42" t="n">
        <x:v>6654615000000</x:v>
      </x:c>
      <x:c r="I26" s="42" t="n">
        <x:v>6575616000000</x:v>
      </x:c>
      <x:c r="J26" s="42" t="n">
        <x:f>SUM(F26:I26)</x:f>
        <x:v>26431204000000</x:v>
      </x:c>
      <x:c r="K26" s="42" t="n">
        <x:v>506500000000</x:v>
      </x:c>
      <x:c r="L26" s="42" t="n">
        <x:v>493986000000</x:v>
      </x:c>
      <x:c r="M26" s="42" t="n">
        <x:v>464110000000</x:v>
      </x:c>
      <x:c r="N26" s="42" t="n">
        <x:v>-655125000000</x:v>
      </x:c>
      <x:c r="O26" s="42" t="n">
        <x:f>SUM(K26:N26)</x:f>
        <x:v>809471000000</x:v>
      </x:c>
      <x:c r="P26" s="45" t="n">
        <x:f>IFERROR(O26/J26,0)</x:f>
        <x:v>0.03062558179339844</x:v>
      </x:c>
    </x:row>
    <x:row r="27">
      <x:c r="A27" s="33" t="n">
        <x:v>23</x:v>
      </x:c>
      <x:c r="B27" s="30" t="str">
        <x:v>HD한국조선해양</x:v>
      </x:c>
      <x:c r="C27" s="36" t="n">
        <x:v>164830</x:v>
      </x:c>
      <x:c r="D27" s="39" t="n">
        <x:v>9540</x:v>
      </x:c>
      <x:c r="E27" s="33" t="str">
        <x:v>CFS</x:v>
      </x:c>
      <x:c r="F27" s="42" t="n">
        <x:v>5515625997000</x:v>
      </x:c>
      <x:c r="G27" s="42" t="n">
        <x:v>6615483679000</x:v>
      </x:c>
      <x:c r="H27" s="42" t="n">
        <x:v>6245755748000</x:v>
      </x:c>
      <x:c r="I27" s="42" t="n">
        <x:v>7161711932000</x:v>
      </x:c>
      <x:c r="J27" s="42" t="n">
        <x:f>SUM(F27:I27)</x:f>
        <x:v>25538577356000</x:v>
      </x:c>
      <x:c r="K27" s="42" t="n">
        <x:v>160162573000</x:v>
      </x:c>
      <x:c r="L27" s="42" t="n">
        <x:v>376465002000</x:v>
      </x:c>
      <x:c r="M27" s="42" t="n">
        <x:v>398407579000</x:v>
      </x:c>
      <x:c r="N27" s="42" t="n">
        <x:v>499055338000</x:v>
      </x:c>
      <x:c r="O27" s="42" t="n">
        <x:f>SUM(K27:N27)</x:f>
        <x:v>1434090492000</x:v>
      </x:c>
      <x:c r="P27" s="45" t="n">
        <x:f>IFERROR(O27/J27,0)</x:f>
        <x:v>0.05615389111183504</x:v>
      </x:c>
    </x:row>
    <x:row r="28">
      <x:c r="A28" s="33" t="n">
        <x:v>24</x:v>
      </x:c>
      <x:c r="B28" s="30" t="str">
        <x:v>현대제철</x:v>
      </x:c>
      <x:c r="C28" s="36" t="n">
        <x:v>145880</x:v>
      </x:c>
      <x:c r="D28" s="39" t="n">
        <x:v>4020</x:v>
      </x:c>
      <x:c r="E28" s="33" t="str">
        <x:v>CFS</x:v>
      </x:c>
      <x:c r="F28" s="42" t="n">
        <x:v>5947782420213</x:v>
      </x:c>
      <x:c r="G28" s="42" t="n">
        <x:v>6041380201899</x:v>
      </x:c>
      <x:c r="H28" s="42" t="n">
        <x:v>5624298921124</x:v>
      </x:c>
      <x:c r="I28" s="42" t="n">
        <x:v>5612679547981</x:v>
      </x:c>
      <x:c r="J28" s="42" t="n">
        <x:f>SUM(F28:I28)</x:f>
        <x:v>23226141091217</x:v>
      </x:c>
      <x:c r="K28" s="42" t="n">
        <x:v>55802911222</x:v>
      </x:c>
      <x:c r="L28" s="42" t="n">
        <x:v>97966232564</x:v>
      </x:c>
      <x:c r="M28" s="42" t="n">
        <x:v>51541503075</x:v>
      </x:c>
      <x:c r="N28" s="42" t="n">
        <x:v>-45818638281</x:v>
      </x:c>
      <x:c r="O28" s="42" t="n">
        <x:f>SUM(K28:N28)</x:f>
        <x:v>159492008580</x:v>
      </x:c>
      <x:c r="P28" s="45" t="n">
        <x:f>IFERROR(O28/J28,0)</x:f>
        <x:v>0.006866918096881455</x:v>
      </x:c>
    </x:row>
    <x:row r="29">
      <x:c r="A29" s="33" t="n">
        <x:v>25</x:v>
      </x:c>
      <x:c r="B29" s="30" t="str">
        <x:v>LG이노텍</x:v>
      </x:c>
      <x:c r="C29" s="36" t="n">
        <x:v>105961</x:v>
      </x:c>
      <x:c r="D29" s="39" t="n">
        <x:v>11070</x:v>
      </x:c>
      <x:c r="E29" s="33" t="str">
        <x:v>CFS</x:v>
      </x:c>
      <x:c r="F29" s="42" t="n">
        <x:v>4333578000000</x:v>
      </x:c>
      <x:c r="G29" s="42" t="n">
        <x:v>4555269000000</x:v>
      </x:c>
      <x:c r="H29" s="42" t="n">
        <x:v>5685059000000</x:v>
      </x:c>
      <x:c r="I29" s="42" t="n">
        <x:v>6626849000000</x:v>
      </x:c>
      <x:c r="J29" s="42" t="n">
        <x:f>SUM(F29:I29)</x:f>
        <x:v>21200755000000</x:v>
      </x:c>
      <x:c r="K29" s="42" t="n">
        <x:v>176038000000</x:v>
      </x:c>
      <x:c r="L29" s="42" t="n">
        <x:v>151684000000</x:v>
      </x:c>
      <x:c r="M29" s="42" t="n">
        <x:v>130430000000</x:v>
      </x:c>
      <x:c r="N29" s="42" t="n">
        <x:v>247890000000</x:v>
      </x:c>
      <x:c r="O29" s="42" t="n">
        <x:f>SUM(K29:N29)</x:f>
        <x:v>706042000000</x:v>
      </x:c>
      <x:c r="P29" s="45" t="n">
        <x:f>IFERROR(O29/J29,0)</x:f>
        <x:v>0.03330268190920559</x:v>
      </x:c>
    </x:row>
    <x:row r="30">
      <x:c r="A30" s="33" t="n">
        <x:v>26</x:v>
      </x:c>
      <x:c r="B30" s="30" t="str">
        <x:v>롯데케미칼</x:v>
      </x:c>
      <x:c r="C30" s="36" t="n">
        <x:v>165413</x:v>
      </x:c>
      <x:c r="D30" s="39" t="n">
        <x:v>11170</x:v>
      </x:c>
      <x:c r="E30" s="33" t="str">
        <x:v>CFS</x:v>
      </x:c>
      <x:c r="F30" s="42" t="n">
        <x:v>5086124357788</x:v>
      </x:c>
      <x:c r="G30" s="42" t="n">
        <x:v>5248011923155</x:v>
      </x:c>
      <x:c r="H30" s="42" t="n">
        <x:v>5200177481313</x:v>
      </x:c>
      <x:c r="I30" s="42" t="n">
        <x:v>4896061803101</x:v>
      </x:c>
      <x:c r="J30" s="42" t="n">
        <x:f>SUM(F30:I30)</x:f>
        <x:v>20430375565357</x:v>
      </x:c>
      <x:c r="K30" s="42" t="n">
        <x:v>-135280113029</x:v>
      </x:c>
      <x:c r="L30" s="42" t="n">
        <x:v>-111163211034</x:v>
      </x:c>
      <x:c r="M30" s="42" t="n">
        <x:v>-413584035463</x:v>
      </x:c>
      <x:c r="N30" s="42" t="n">
        <x:v>-234053644902</x:v>
      </x:c>
      <x:c r="O30" s="42" t="n">
        <x:f>SUM(K30:N30)</x:f>
        <x:v>-894081004428</x:v>
      </x:c>
      <x:c r="P30" s="45" t="n">
        <x:f>IFERROR(O30/J30,0)</x:f>
        <x:v>-0.043762338169840535</x:v>
      </x:c>
    </x:row>
    <x:row r="31">
      <x:c r="A31" s="33" t="n">
        <x:v>27</x:v>
      </x:c>
      <x:c r="B31" s="30" t="str">
        <x:v>SK텔레콤</x:v>
      </x:c>
      <x:c r="C31" s="36" t="n">
        <x:v>159023</x:v>
      </x:c>
      <x:c r="D31" s="39" t="n">
        <x:v>17670</x:v>
      </x:c>
      <x:c r="E31" s="33" t="str">
        <x:v>CFS</x:v>
      </x:c>
      <x:c r="F31" s="42" t="n">
        <x:v>4474611000000</x:v>
      </x:c>
      <x:c r="G31" s="42" t="n">
        <x:v>4422359000000</x:v>
      </x:c>
      <x:c r="H31" s="42" t="n">
        <x:v>4532118000000</x:v>
      </x:c>
      <x:c r="I31" s="42" t="n">
        <x:v>4511521000000</x:v>
      </x:c>
      <x:c r="J31" s="42" t="n">
        <x:f>SUM(F31:I31)</x:f>
        <x:v>17940609000000</x:v>
      </x:c>
      <x:c r="K31" s="42" t="n">
        <x:v>498489000000</x:v>
      </x:c>
      <x:c r="L31" s="42" t="n">
        <x:v>537508000000</x:v>
      </x:c>
      <x:c r="M31" s="42" t="n">
        <x:v>533263000000</x:v>
      </x:c>
      <x:c r="N31" s="42" t="n">
        <x:v>254149000000</x:v>
      </x:c>
      <x:c r="O31" s="42" t="n">
        <x:f>SUM(K31:N31)</x:f>
        <x:v>1823409000000</x:v>
      </x:c>
      <x:c r="P31" s="45" t="n">
        <x:f>IFERROR(O31/J31,0)</x:f>
        <x:v>0.10163584747875616</x:v>
      </x:c>
    </x:row>
    <x:row r="32">
      <x:c r="A32" s="33" t="n">
        <x:v>28</x:v>
      </x:c>
      <x:c r="B32" s="30" t="str">
        <x:v>대한항공</x:v>
      </x:c>
      <x:c r="C32" s="36" t="n">
        <x:v>113526</x:v>
      </x:c>
      <x:c r="D32" s="39" t="n">
        <x:v>3490</x:v>
      </x:c>
      <x:c r="E32" s="33" t="str">
        <x:v>CFS</x:v>
      </x:c>
      <x:c r="F32" s="42" t="n">
        <x:v>4291444812510</x:v>
      </x:c>
      <x:c r="G32" s="42" t="n">
        <x:v>4402231429467</x:v>
      </x:c>
      <x:c r="H32" s="42" t="n">
        <x:v>4675277388850</x:v>
      </x:c>
      <x:c r="I32" s="42" t="n">
        <x:v>4501764864977</x:v>
      </x:c>
      <x:c r="J32" s="42" t="n">
        <x:f>SUM(F32:I32)</x:f>
        <x:v>17870718495804</x:v>
      </x:c>
      <x:c r="K32" s="42" t="n">
        <x:v>537527332004</x:v>
      </x:c>
      <x:c r="L32" s="42" t="n">
        <x:v>442930111031</x:v>
      </x:c>
      <x:c r="M32" s="42" t="n">
        <x:v>665662440656</x:v>
      </x:c>
      <x:c r="N32" s="42" t="n">
        <x:v>464080194303</x:v>
      </x:c>
      <x:c r="O32" s="42" t="n">
        <x:f>SUM(K32:N32)</x:f>
        <x:v>2110200077994</x:v>
      </x:c>
      <x:c r="P32" s="45" t="n">
        <x:f>IFERROR(O32/J32,0)</x:f>
        <x:v>0.11808143463786695</x:v>
      </x:c>
    </x:row>
    <x:row r="33">
      <x:c r="A33" s="33" t="n">
        <x:v>29</x:v>
      </x:c>
      <x:c r="B33" s="30" t="str">
        <x:v>삼성SDI</x:v>
      </x:c>
      <x:c r="C33" s="36" t="n">
        <x:v>126362</x:v>
      </x:c>
      <x:c r="D33" s="39" t="n">
        <x:v>6400</x:v>
      </x:c>
      <x:c r="E33" s="33" t="str">
        <x:v>CFS</x:v>
      </x:c>
      <x:c r="F33" s="42" t="n">
        <x:v>5130893462037</x:v>
      </x:c>
      <x:c r="G33" s="42" t="n">
        <x:v>4450134429064</x:v>
      </x:c>
      <x:c r="H33" s="42" t="n">
        <x:v>3256762787175</x:v>
      </x:c>
      <x:c r="I33" s="42" t="n">
        <x:v>3754458206112</x:v>
      </x:c>
      <x:c r="J33" s="42" t="n">
        <x:f>SUM(F33:I33)</x:f>
        <x:v>16592248884388</x:v>
      </x:c>
      <x:c r="K33" s="42" t="n">
        <x:v>267381306037</x:v>
      </x:c>
      <x:c r="L33" s="42" t="n">
        <x:v>280220396631</x:v>
      </x:c>
      <x:c r="M33" s="42" t="n">
        <x:v>72357666139</x:v>
      </x:c>
      <x:c r="N33" s="42" t="n">
        <x:v>-256654905544</x:v>
      </x:c>
      <x:c r="O33" s="42" t="n">
        <x:f>SUM(K33:N33)</x:f>
        <x:v>363304463263</x:v>
      </x:c>
      <x:c r="P33" s="45" t="n">
        <x:f>IFERROR(O33/J33,0)</x:f>
        <x:v>0.02189603505796257</x:v>
      </x:c>
    </x:row>
    <x:row r="34">
      <x:c r="A34" s="33" t="n">
        <x:v>30</x:v>
      </x:c>
      <x:c r="B34" s="30" t="str">
        <x:v>두산에너빌리티</x:v>
      </x:c>
      <x:c r="C34" s="36" t="n">
        <x:v>159616</x:v>
      </x:c>
      <x:c r="D34" s="39" t="n">
        <x:v>34020</x:v>
      </x:c>
      <x:c r="E34" s="33" t="str">
        <x:v>CFS</x:v>
      </x:c>
      <x:c r="F34" s="42" t="n">
        <x:v>4097866699455</x:v>
      </x:c>
      <x:c r="G34" s="42" t="n">
        <x:v>4150487340491</x:v>
      </x:c>
      <x:c r="H34" s="42" t="n">
        <x:v>3395568929747</x:v>
      </x:c>
      <x:c r="I34" s="42" t="n">
        <x:v>4589132030307</x:v>
      </x:c>
      <x:c r="J34" s="42" t="n">
        <x:f>SUM(F34:I34)</x:f>
        <x:v>16233055000000</x:v>
      </x:c>
      <x:c r="K34" s="42" t="n">
        <x:v>358070947327</x:v>
      </x:c>
      <x:c r="L34" s="42" t="n">
        <x:v>309790232880</x:v>
      </x:c>
      <x:c r="M34" s="42" t="n">
        <x:v>114789581990</x:v>
      </x:c>
      <x:c r="N34" s="42" t="n">
        <x:v>234949237803</x:v>
      </x:c>
      <x:c r="O34" s="42" t="n">
        <x:f>SUM(K34:N34)</x:f>
        <x:v>1017600000000</x:v>
      </x:c>
      <x:c r="P34" s="45" t="n">
        <x:f>IFERROR(O34/J34,0)</x:f>
        <x:v>0.06268690643874489</x:v>
      </x:c>
    </x:row>
    <x:row r="35">
      <x:c r="A35" s="33" t="n">
        <x:v>31</x:v>
      </x:c>
      <x:c r="B35" s="30" t="str">
        <x:v>LG유플러스</x:v>
      </x:c>
      <x:c r="C35" s="36" t="n">
        <x:v>231363</x:v>
      </x:c>
      <x:c r="D35" s="39" t="n">
        <x:v>32640</x:v>
      </x:c>
      <x:c r="E35" s="33" t="str">
        <x:v>CFS</x:v>
      </x:c>
      <x:c r="F35" s="42" t="n">
        <x:v>3576966000000</x:v>
      </x:c>
      <x:c r="G35" s="42" t="n">
        <x:v>3493696000000</x:v>
      </x:c>
      <x:c r="H35" s="42" t="n">
        <x:v>3801331000000</x:v>
      </x:c>
      <x:c r="I35" s="42" t="n">
        <x:v>3753205000000</x:v>
      </x:c>
      <x:c r="J35" s="42" t="n">
        <x:f>SUM(F35:I35)</x:f>
        <x:v>14625198000000</x:v>
      </x:c>
      <x:c r="K35" s="42" t="n">
        <x:v>220931000000</x:v>
      </x:c>
      <x:c r="L35" s="42" t="n">
        <x:v>254011000000</x:v>
      </x:c>
      <x:c r="M35" s="42" t="n">
        <x:v>246026000000</x:v>
      </x:c>
      <x:c r="N35" s="42" t="n">
        <x:v>142162000000</x:v>
      </x:c>
      <x:c r="O35" s="42" t="n">
        <x:f>SUM(K35:N35)</x:f>
        <x:v>863130000000</x:v>
      </x:c>
      <x:c r="P35" s="45" t="n">
        <x:f>IFERROR(O35/J35,0)</x:f>
        <x:v>0.05901663690296706</x:v>
      </x:c>
    </x:row>
    <x:row r="36">
      <x:c r="A36" s="33" t="n">
        <x:v>32</x:v>
      </x:c>
      <x:c r="B36" s="30" t="str">
        <x:v>HD현대중공업</x:v>
      </x:c>
      <x:c r="C36" s="36" t="n">
        <x:v>1390344</x:v>
      </x:c>
      <x:c r="D36" s="39" t="n">
        <x:v>329180</x:v>
      </x:c>
      <x:c r="E36" s="33" t="str">
        <x:v>CFS</x:v>
      </x:c>
      <x:c r="F36" s="42" t="n">
        <x:v>2987745013000</x:v>
      </x:c>
      <x:c r="G36" s="42" t="n">
        <x:v>3883982539000</x:v>
      </x:c>
      <x:c r="H36" s="42" t="n">
        <x:v>3609175683000</x:v>
      </x:c>
      <x:c r="I36" s="42" t="n">
        <x:v>4005550308000</x:v>
      </x:c>
      <x:c r="J36" s="42" t="n">
        <x:f>SUM(F36:I36)</x:f>
        <x:v>14486453543000</x:v>
      </x:c>
      <x:c r="K36" s="42" t="n">
        <x:v>21263912000</x:v>
      </x:c>
      <x:c r="L36" s="42" t="n">
        <x:v>195630124000</x:v>
      </x:c>
      <x:c r="M36" s="42" t="n">
        <x:v>206145004000</x:v>
      </x:c>
      <x:c r="N36" s="42" t="n">
        <x:v>282184442000</x:v>
      </x:c>
      <x:c r="O36" s="42" t="n">
        <x:f>SUM(K36:N36)</x:f>
        <x:v>705223482000</x:v>
      </x:c>
      <x:c r="P36" s="45" t="n">
        <x:f>IFERROR(O36/J36,0)</x:f>
        <x:v>0.04868158241122936</x:v>
      </x:c>
    </x:row>
    <x:row r="37">
      <x:c r="A37" s="33" t="n">
        <x:v>33</x:v>
      </x:c>
      <x:c r="B37" s="30" t="str">
        <x:v>롯데쇼핑</x:v>
      </x:c>
      <x:c r="C37" s="36" t="n">
        <x:v>120526</x:v>
      </x:c>
      <x:c r="D37" s="39" t="n">
        <x:v>23530</x:v>
      </x:c>
      <x:c r="E37" s="33" t="str">
        <x:v>CFS</x:v>
      </x:c>
      <x:c r="F37" s="42" t="n">
        <x:v>3513305938897</x:v>
      </x:c>
      <x:c r="G37" s="42" t="n">
        <x:v>3427810100753</x:v>
      </x:c>
      <x:c r="H37" s="42" t="n">
        <x:v>3568352544649</x:v>
      </x:c>
      <x:c r="I37" s="42" t="n">
        <x:v>3477109685761</x:v>
      </x:c>
      <x:c r="J37" s="42" t="n">
        <x:f>SUM(F37:I37)</x:f>
        <x:v>13986578270060</x:v>
      </x:c>
      <x:c r="K37" s="42" t="n">
        <x:v>114871108389</x:v>
      </x:c>
      <x:c r="L37" s="42" t="n">
        <x:v>56054697237</x:v>
      </x:c>
      <x:c r="M37" s="42" t="n">
        <x:v>154987063225</x:v>
      </x:c>
      <x:c r="N37" s="42" t="n">
        <x:v>147201095929</x:v>
      </x:c>
      <x:c r="O37" s="42" t="n">
        <x:f>SUM(K37:N37)</x:f>
        <x:v>473113964780</x:v>
      </x:c>
      <x:c r="P37" s="45" t="n">
        <x:f>IFERROR(O37/J37,0)</x:f>
        <x:v>0.03382628371606506</x:v>
      </x:c>
    </x:row>
    <x:row r="38">
      <x:c r="A38" s="33" t="n">
        <x:v>34</x:v>
      </x:c>
      <x:c r="B38" s="30" t="str">
        <x:v>GS건설</x:v>
      </x:c>
      <x:c r="C38" s="36" t="n">
        <x:v>120030</x:v>
      </x:c>
      <x:c r="D38" s="39" t="n">
        <x:v>6360</x:v>
      </x:c>
      <x:c r="E38" s="33" t="str">
        <x:v>CFS</x:v>
      </x:c>
      <x:c r="F38" s="42" t="n">
        <x:v>3070913777436</x:v>
      </x:c>
      <x:c r="G38" s="42" t="n">
        <x:v>3297187514259</x:v>
      </x:c>
      <x:c r="H38" s="42" t="n">
        <x:v>3109249477665</x:v>
      </x:c>
      <x:c r="I38" s="42" t="n">
        <x:v>3386460699026</x:v>
      </x:c>
      <x:c r="J38" s="42" t="n">
        <x:f>SUM(F38:I38)</x:f>
        <x:v>12863811468386</x:v>
      </x:c>
      <x:c r="K38" s="42" t="n">
        <x:v>70520180021</x:v>
      </x:c>
      <x:c r="L38" s="42" t="n">
        <x:v>93432450123</x:v>
      </x:c>
      <x:c r="M38" s="42" t="n">
        <x:v>81790371762</x:v>
      </x:c>
      <x:c r="N38" s="42" t="n">
        <x:v>40211333881</x:v>
      </x:c>
      <x:c r="O38" s="42" t="n">
        <x:f>SUM(K38:N38)</x:f>
        <x:v>285954335787</x:v>
      </x:c>
      <x:c r="P38" s="45" t="n">
        <x:f>IFERROR(O38/J38,0)</x:f>
        <x:v>0.02222936308494252</x:v>
      </x:c>
    </x:row>
    <x:row r="39">
      <x:c r="A39" s="33" t="n">
        <x:v>35</x:v>
      </x:c>
      <x:c r="B39" s="30" t="str">
        <x:v>CJ대한통운</x:v>
      </x:c>
      <x:c r="C39" s="36" t="n">
        <x:v>113410</x:v>
      </x:c>
      <x:c r="D39" s="39" t="n">
        <x:v>120</x:v>
      </x:c>
      <x:c r="E39" s="33" t="str">
        <x:v>CFS</x:v>
      </x:c>
      <x:c r="F39" s="42" t="n">
        <x:v>2921425893480</x:v>
      </x:c>
      <x:c r="G39" s="42" t="n">
        <x:v>3059182081054</x:v>
      </x:c>
      <x:c r="H39" s="42" t="n">
        <x:v>2975813507770</x:v>
      </x:c>
      <x:c r="I39" s="42" t="n">
        <x:v>3160339664857</x:v>
      </x:c>
      <x:c r="J39" s="42" t="n">
        <x:f>SUM(F39:I39)</x:f>
        <x:v>12116761147161</x:v>
      </x:c>
      <x:c r="K39" s="42" t="n">
        <x:v>109365332567</x:v>
      </x:c>
      <x:c r="L39" s="42" t="n">
        <x:v>125360555896</x:v>
      </x:c>
      <x:c r="M39" s="42" t="n">
        <x:v>141611194932</x:v>
      </x:c>
      <x:c r="N39" s="42" t="n">
        <x:v>154325983739</x:v>
      </x:c>
      <x:c r="O39" s="42" t="n">
        <x:f>SUM(K39:N39)</x:f>
        <x:v>530663067134</x:v>
      </x:c>
      <x:c r="P39" s="45" t="n">
        <x:f>IFERROR(O39/J39,0)</x:f>
        <x:v>0.04379578508554955</x:v>
      </x:c>
    </x:row>
    <x:row r="40">
      <x:c r="A40" s="33" t="n">
        <x:v>36</x:v>
      </x:c>
      <x:c r="B40" s="30" t="str">
        <x:v>고려아연</x:v>
      </x:c>
      <x:c r="C40" s="36" t="n">
        <x:v>102858</x:v>
      </x:c>
      <x:c r="D40" s="39" t="n">
        <x:v>10130</x:v>
      </x:c>
      <x:c r="E40" s="33" t="str">
        <x:v>CFS</x:v>
      </x:c>
      <x:c r="F40" s="42" t="n">
        <x:v>2375364686871</x:v>
      </x:c>
      <x:c r="G40" s="42" t="n">
        <x:v>3058166231058</x:v>
      </x:c>
      <x:c r="H40" s="42" t="n">
        <x:v>3206651309213</x:v>
      </x:c>
      <x:c r="I40" s="42" t="n">
        <x:v>3412736183107</x:v>
      </x:c>
      <x:c r="J40" s="42" t="n">
        <x:f>SUM(F40:I40)</x:f>
        <x:v>12052918410249</x:v>
      </x:c>
      <x:c r="K40" s="42" t="n">
        <x:v>184518281418</x:v>
      </x:c>
      <x:c r="L40" s="42" t="n">
        <x:v>268723597830</x:v>
      </x:c>
      <x:c r="M40" s="42" t="n">
        <x:v>149979552892</x:v>
      </x:c>
      <x:c r="N40" s="42" t="n">
        <x:v>120250776383</x:v>
      </x:c>
      <x:c r="O40" s="42" t="n">
        <x:f>SUM(K40:N40)</x:f>
        <x:v>723472208523</x:v>
      </x:c>
      <x:c r="P40" s="45" t="n">
        <x:f>IFERROR(O40/J40,0)</x:f>
        <x:v>0.0600246499559648</x:v>
      </x:c>
    </x:row>
    <x:row r="41">
      <x:c r="A41" s="33" t="n">
        <x:v>37</x:v>
      </x:c>
      <x:c r="B41" s="30" t="str">
        <x:v>HMM</x:v>
      </x:c>
      <x:c r="C41" s="36" t="n">
        <x:v>164645</x:v>
      </x:c>
      <x:c r="D41" s="39" t="n">
        <x:v>11200</x:v>
      </x:c>
      <x:c r="E41" s="33" t="str">
        <x:v>CFS</x:v>
      </x:c>
      <x:c r="F41" s="42" t="n">
        <x:v>2329865000000</x:v>
      </x:c>
      <x:c r="G41" s="42" t="n">
        <x:v>2663432000000</x:v>
      </x:c>
      <x:c r="H41" s="42" t="n">
        <x:v>3551980000000</x:v>
      </x:c>
      <x:c r="I41" s="42" t="n">
        <x:v>3154947000000</x:v>
      </x:c>
      <x:c r="J41" s="42" t="n">
        <x:f>SUM(F41:I41)</x:f>
        <x:v>11700224000000</x:v>
      </x:c>
      <x:c r="K41" s="42" t="n">
        <x:v>407001000000</x:v>
      </x:c>
      <x:c r="L41" s="42" t="n">
        <x:v>644381000000</x:v>
      </x:c>
      <x:c r="M41" s="42" t="n">
        <x:v>1461355000000</x:v>
      </x:c>
      <x:c r="N41" s="42" t="n">
        <x:v>1000110000000</x:v>
      </x:c>
      <x:c r="O41" s="42" t="n">
        <x:f>SUM(K41:N41)</x:f>
        <x:v>3512847000000</x:v>
      </x:c>
      <x:c r="P41" s="45" t="n">
        <x:f>IFERROR(O41/J41,0)</x:f>
        <x:v>0.30023758519495014</x:v>
      </x:c>
    </x:row>
    <x:row r="42">
      <x:c r="A42" s="33" t="n">
        <x:v>38</x:v>
      </x:c>
      <x:c r="B42" s="30" t="str">
        <x:v>GS리테일</x:v>
      </x:c>
      <x:c r="C42" s="36" t="n">
        <x:v>140177</x:v>
      </x:c>
      <x:c r="D42" s="39" t="n">
        <x:v>7070</x:v>
      </x:c>
      <x:c r="E42" s="33" t="str">
        <x:v>CFS</x:v>
      </x:c>
      <x:c r="F42" s="42" t="n">
        <x:v>2810377406345</x:v>
      </x:c>
      <x:c r="G42" s="42" t="n">
        <x:v>2827800632059</x:v>
      </x:c>
      <x:c r="H42" s="42" t="n">
        <x:v>3054711033750</x:v>
      </x:c>
      <x:c r="I42" s="42" t="n">
        <x:v>2934031202759</x:v>
      </x:c>
      <x:c r="J42" s="42" t="n">
        <x:f>SUM(F42:I42)</x:f>
        <x:v>11626920274913</x:v>
      </x:c>
      <x:c r="K42" s="42" t="n">
        <x:v>73884927165</x:v>
      </x:c>
      <x:c r="L42" s="42" t="n">
        <x:v>56871348782</x:v>
      </x:c>
      <x:c r="M42" s="42" t="n">
        <x:v>80639523362</x:v>
      </x:c>
      <x:c r="N42" s="42" t="n">
        <x:v>27709077604</x:v>
      </x:c>
      <x:c r="O42" s="42" t="n">
        <x:f>SUM(K42:N42)</x:f>
        <x:v>239104876913</x:v>
      </x:c>
      <x:c r="P42" s="45" t="n">
        <x:f>IFERROR(O42/J42,0)</x:f>
        <x:v>0.02056476446552302</x:v>
      </x:c>
    </x:row>
    <x:row r="43">
      <x:c r="A43" s="33" t="n">
        <x:v>39</x:v>
      </x:c>
      <x:c r="B43" s="30" t="str">
        <x:v>한화에어로스페이스</x:v>
      </x:c>
      <x:c r="C43" s="36" t="n">
        <x:v>126566</x:v>
      </x:c>
      <x:c r="D43" s="39" t="n">
        <x:v>12450</x:v>
      </x:c>
      <x:c r="E43" s="33" t="str">
        <x:v>CFS</x:v>
      </x:c>
      <x:c r="F43" s="42" t="n">
        <x:v>1848339988707</x:v>
      </x:c>
      <x:c r="G43" s="42" t="n">
        <x:v>2785970699662</x:v>
      </x:c>
      <x:c r="H43" s="42" t="n">
        <x:v>1780792795699</x:v>
      </x:c>
      <x:c r="I43" s="42" t="n">
        <x:v>4825018000050</x:v>
      </x:c>
      <x:c r="J43" s="42" t="n">
        <x:f>SUM(F43:I43)</x:f>
        <x:v>11240121484118</x:v>
      </x:c>
      <x:c r="K43" s="42" t="n">
        <x:v>37409748125</x:v>
      </x:c>
      <x:c r="L43" s="42" t="n">
        <x:v>358774341089</x:v>
      </x:c>
      <x:c r="M43" s="42" t="n">
        <x:v>436025210425</x:v>
      </x:c>
      <x:c r="N43" s="42" t="n">
        <x:v>899669525703</x:v>
      </x:c>
      <x:c r="O43" s="42" t="n">
        <x:f>SUM(K43:N43)</x:f>
        <x:v>1731878825342</x:v>
      </x:c>
      <x:c r="P43" s="45" t="n">
        <x:f>IFERROR(O43/J43,0)</x:f>
        <x:v>0.15408008069922552</x:v>
      </x:c>
    </x:row>
    <x:row r="44">
      <x:c r="A44" s="33" t="n">
        <x:v>40</x:v>
      </x:c>
      <x:c r="B44" s="30" t="str">
        <x:v>E1</x:v>
      </x:c>
      <x:c r="C44" s="36" t="n">
        <x:v>165583</x:v>
      </x:c>
      <x:c r="D44" s="39" t="n">
        <x:v>17940</x:v>
      </x:c>
      <x:c r="E44" s="33" t="str">
        <x:v>CFS</x:v>
      </x:c>
      <x:c r="F44" s="42" t="n">
        <x:v>2457155903962</x:v>
      </x:c>
      <x:c r="G44" s="42" t="n">
        <x:v>2969725643413</x:v>
      </x:c>
      <x:c r="H44" s="42" t="n">
        <x:v>2784739672366</x:v>
      </x:c>
      <x:c r="I44" s="42" t="n">
        <x:v>2980790592272</x:v>
      </x:c>
      <x:c r="J44" s="42" t="n">
        <x:f>SUM(F44:I44)</x:f>
        <x:v>11192411812013</x:v>
      </x:c>
      <x:c r="K44" s="42" t="n">
        <x:v>116917948783</x:v>
      </x:c>
      <x:c r="L44" s="42" t="n">
        <x:v>92196737091</x:v>
      </x:c>
      <x:c r="M44" s="42" t="n">
        <x:v>7424857840</x:v>
      </x:c>
      <x:c r="N44" s="42" t="n">
        <x:v>1065989355</x:v>
      </x:c>
      <x:c r="O44" s="42" t="n">
        <x:f>SUM(K44:N44)</x:f>
        <x:v>217605533069</x:v>
      </x:c>
      <x:c r="P44" s="45" t="n">
        <x:f>IFERROR(O44/J44,0)</x:f>
        <x:v>0.019442237895092494</x:v>
      </x:c>
    </x:row>
    <x:row r="45">
      <x:c r="A45" s="33" t="n">
        <x:v>41</x:v>
      </x:c>
      <x:c r="B45" s="30" t="str">
        <x:v>한화오션</x:v>
      </x:c>
      <x:c r="C45" s="36" t="n">
        <x:v>111704</x:v>
      </x:c>
      <x:c r="D45" s="39" t="n">
        <x:v>42660</x:v>
      </x:c>
      <x:c r="E45" s="33" t="str">
        <x:v>CFS</x:v>
      </x:c>
      <x:c r="F45" s="42" t="n">
        <x:v>2283627126541</x:v>
      </x:c>
      <x:c r="G45" s="42" t="n">
        <x:v>2536090807951</x:v>
      </x:c>
      <x:c r="H45" s="42" t="n">
        <x:v>2703108868124</x:v>
      </x:c>
      <x:c r="I45" s="42" t="n">
        <x:v>3253178131011</x:v>
      </x:c>
      <x:c r="J45" s="42" t="n">
        <x:f>SUM(F45:I45)</x:f>
        <x:v>10776004933627</x:v>
      </x:c>
      <x:c r="K45" s="42" t="n">
        <x:v>52936271106</x:v>
      </x:c>
      <x:c r="L45" s="42" t="n">
        <x:v>-9658691187</x:v>
      </x:c>
      <x:c r="M45" s="42" t="n">
        <x:v>25581526981</x:v>
      </x:c>
      <x:c r="N45" s="42" t="n">
        <x:v>169017272417</x:v>
      </x:c>
      <x:c r="O45" s="42" t="n">
        <x:f>SUM(K45:N45)</x:f>
        <x:v>237876379317</x:v>
      </x:c>
      <x:c r="P45" s="45" t="n">
        <x:f>IFERROR(O45/J45,0)</x:f>
        <x:v>0.022074635338621296</x:v>
      </x:c>
    </x:row>
    <x:row r="46">
      <x:c r="A46" s="33" t="n">
        <x:v>42</x:v>
      </x:c>
      <x:c r="B46" s="30" t="str">
        <x:v>대우건설</x:v>
      </x:c>
      <x:c r="C46" s="36" t="n">
        <x:v>124540</x:v>
      </x:c>
      <x:c r="D46" s="39" t="n">
        <x:v>47040</x:v>
      </x:c>
      <x:c r="E46" s="33" t="str">
        <x:v>CFS</x:v>
      </x:c>
      <x:c r="F46" s="42" t="n">
        <x:v>2487337156576</x:v>
      </x:c>
      <x:c r="G46" s="42" t="n">
        <x:v>2821467566663</x:v>
      </x:c>
      <x:c r="H46" s="42" t="n">
        <x:v>2547811776367</x:v>
      </x:c>
      <x:c r="I46" s="42" t="n">
        <x:v>2646992586428</x:v>
      </x:c>
      <x:c r="J46" s="42" t="n">
        <x:f>SUM(F46:I46)</x:f>
        <x:v>10503609086034</x:v>
      </x:c>
      <x:c r="K46" s="42" t="n">
        <x:v>114789901184</x:v>
      </x:c>
      <x:c r="L46" s="42" t="n">
        <x:v>104766484568</x:v>
      </x:c>
      <x:c r="M46" s="42" t="n">
        <x:v>62334562569</x:v>
      </x:c>
      <x:c r="N46" s="42" t="n">
        <x:v>121234665560</x:v>
      </x:c>
      <x:c r="O46" s="42" t="n">
        <x:f>SUM(K46:N46)</x:f>
        <x:v>403125613881</x:v>
      </x:c>
      <x:c r="P46" s="45" t="n">
        <x:f>IFERROR(O46/J46,0)</x:f>
        <x:v>0.038379723633947045</x:v>
      </x:c>
    </x:row>
    <x:row r="47">
      <x:c r="A47" s="33" t="n">
        <x:v>43</x:v>
      </x:c>
      <x:c r="B47" s="30" t="str">
        <x:v>삼성전기</x:v>
      </x:c>
      <x:c r="C47" s="36" t="n">
        <x:v>126371</x:v>
      </x:c>
      <x:c r="D47" s="39" t="n">
        <x:v>9150</x:v>
      </x:c>
      <x:c r="E47" s="33" t="str">
        <x:v>CFS</x:v>
      </x:c>
      <x:c r="F47" s="42" t="n">
        <x:v>2624288611066</x:v>
      </x:c>
      <x:c r="G47" s="42" t="n">
        <x:v>2580132472693</x:v>
      </x:c>
      <x:c r="H47" s="42" t="n">
        <x:v>2615317199767</x:v>
      </x:c>
      <x:c r="I47" s="42" t="n">
        <x:v>2492281015597</x:v>
      </x:c>
      <x:c r="J47" s="42" t="n">
        <x:f>SUM(F47:I47)</x:f>
        <x:v>10312019299123</x:v>
      </x:c>
      <x:c r="K47" s="42" t="n">
        <x:v>180317078816</x:v>
      </x:c>
      <x:c r="L47" s="42" t="n">
        <x:v>208100287526</x:v>
      </x:c>
      <x:c r="M47" s="42" t="n">
        <x:v>231554092535</x:v>
      </x:c>
      <x:c r="N47" s="42" t="n">
        <x:v>115034398118</x:v>
      </x:c>
      <x:c r="O47" s="42" t="n">
        <x:f>SUM(K47:N47)</x:f>
        <x:v>735005856995</x:v>
      </x:c>
      <x:c r="P47" s="45" t="n">
        <x:f>IFERROR(O47/J47,0)</x:f>
        <x:v>0.07127661767055746</x:v>
      </x:c>
    </x:row>
    <x:row r="48">
      <x:c r="A48" s="33" t="n">
        <x:v>44</x:v>
      </x:c>
      <x:c r="B48" s="30" t="str">
        <x:v>한온시스템</x:v>
      </x:c>
      <x:c r="C48" s="36" t="n">
        <x:v>161125</x:v>
      </x:c>
      <x:c r="D48" s="39" t="n">
        <x:v>18880</x:v>
      </x:c>
      <x:c r="E48" s="33" t="str">
        <x:v>CFS</x:v>
      </x:c>
      <x:c r="F48" s="42" t="n">
        <x:v>2404647729341</x:v>
      </x:c>
      <x:c r="G48" s="42" t="n">
        <x:v>2559894417508</x:v>
      </x:c>
      <x:c r="H48" s="42" t="n">
        <x:v>2499779189163</x:v>
      </x:c>
      <x:c r="I48" s="42" t="n">
        <x:v>2535619783714</x:v>
      </x:c>
      <x:c r="J48" s="42" t="n">
        <x:f>SUM(F48:I48)</x:f>
        <x:v>9999941119726</x:v>
      </x:c>
      <x:c r="K48" s="42" t="n">
        <x:v>65320802027</x:v>
      </x:c>
      <x:c r="L48" s="42" t="n">
        <x:v>71580646483</x:v>
      </x:c>
      <x:c r="M48" s="42" t="n">
        <x:v>96230362639</x:v>
      </x:c>
      <x:c r="N48" s="42" t="n">
        <x:v>-137594457355</x:v>
      </x:c>
      <x:c r="O48" s="42" t="n">
        <x:f>SUM(K48:N48)</x:f>
        <x:v>95537353794</x:v>
      </x:c>
      <x:c r="P48" s="45" t="n">
        <x:f>IFERROR(O48/J48,0)</x:f>
        <x:v>0.009553791632386906</x:v>
      </x:c>
    </x:row>
    <x:row r="49">
      <x:c r="A49" s="33" t="n">
        <x:v>45</x:v>
      </x:c>
      <x:c r="B49" s="30" t="str">
        <x:v>삼성E&amp;A</x:v>
      </x:c>
      <x:c r="C49" s="36" t="n">
        <x:v>126308</x:v>
      </x:c>
      <x:c r="D49" s="39" t="n">
        <x:v>28050</x:v>
      </x:c>
      <x:c r="E49" s="33" t="str">
        <x:v>CFS</x:v>
      </x:c>
      <x:c r="F49" s="42" t="n">
        <x:v>2384735479283</x:v>
      </x:c>
      <x:c r="G49" s="42" t="n">
        <x:v>2686275966447</x:v>
      </x:c>
      <x:c r="H49" s="42" t="n">
        <x:v>2317032879805</x:v>
      </x:c>
      <x:c r="I49" s="42" t="n">
        <x:v>2578507018942</x:v>
      </x:c>
      <x:c r="J49" s="42" t="n">
        <x:f>SUM(F49:I49)</x:f>
        <x:v>9966551344477</x:v>
      </x:c>
      <x:c r="K49" s="42" t="n">
        <x:v>209349578689</x:v>
      </x:c>
      <x:c r="L49" s="42" t="n">
        <x:v>262573016528</x:v>
      </x:c>
      <x:c r="M49" s="42" t="n">
        <x:v>203926524591</x:v>
      </x:c>
      <x:c r="N49" s="42" t="n">
        <x:v>295762566209</x:v>
      </x:c>
      <x:c r="O49" s="42" t="n">
        <x:f>SUM(K49:N49)</x:f>
        <x:v>971611686017</x:v>
      </x:c>
      <x:c r="P49" s="45" t="n">
        <x:f>IFERROR(O49/J49,0)</x:f>
        <x:v>0.09748725034717472</x:v>
      </x:c>
    </x:row>
    <x:row r="50">
      <x:c r="A50" s="33" t="n">
        <x:v>46</x:v>
      </x:c>
      <x:c r="B50" s="30" t="str">
        <x:v>삼성중공업</x:v>
      </x:c>
      <x:c r="C50" s="36" t="n">
        <x:v>126478</x:v>
      </x:c>
      <x:c r="D50" s="39" t="n">
        <x:v>10140</x:v>
      </x:c>
      <x:c r="E50" s="33" t="str">
        <x:v>CFS</x:v>
      </x:c>
      <x:c r="F50" s="42" t="n">
        <x:v>2347795521953</x:v>
      </x:c>
      <x:c r="G50" s="42" t="n">
        <x:v>2531955020493</x:v>
      </x:c>
      <x:c r="H50" s="42" t="n">
        <x:v>2322956355625</x:v>
      </x:c>
      <x:c r="I50" s="42" t="n">
        <x:v>2700371021393</x:v>
      </x:c>
      <x:c r="J50" s="42" t="n">
        <x:f>SUM(F50:I50)</x:f>
        <x:v>9903077919464</x:v>
      </x:c>
      <x:c r="K50" s="42" t="n">
        <x:v>77866935302</x:v>
      </x:c>
      <x:c r="L50" s="42" t="n">
        <x:v>130728942748</x:v>
      </x:c>
      <x:c r="M50" s="42" t="n">
        <x:v>119869330359</x:v>
      </x:c>
      <x:c r="N50" s="42" t="n">
        <x:v>174233474679</x:v>
      </x:c>
      <x:c r="O50" s="42" t="n">
        <x:f>SUM(K50:N50)</x:f>
        <x:v>502698683088</x:v>
      </x:c>
      <x:c r="P50" s="45" t="n">
        <x:f>IFERROR(O50/J50,0)</x:f>
        <x:v>0.050761862844678936</x:v>
      </x:c>
    </x:row>
    <x:row r="51">
      <x:c r="A51" s="33" t="n">
        <x:v>47</x:v>
      </x:c>
      <x:c r="B51" s="30" t="str">
        <x:v>한국타이어앤테크놀로지</x:v>
      </x:c>
      <x:c r="C51" s="36" t="n">
        <x:v>937324</x:v>
      </x:c>
      <x:c r="D51" s="39" t="n">
        <x:v>161390</x:v>
      </x:c>
      <x:c r="E51" s="33" t="str">
        <x:v>CFS</x:v>
      </x:c>
      <x:c r="F51" s="42" t="n">
        <x:v>2127259809625</x:v>
      </x:c>
      <x:c r="G51" s="42" t="n">
        <x:v>2317897362730</x:v>
      </x:c>
      <x:c r="H51" s="42" t="n">
        <x:v>2435262048510</x:v>
      </x:c>
      <x:c r="I51" s="42" t="n">
        <x:v>2531528706131</x:v>
      </x:c>
      <x:c r="J51" s="42" t="n">
        <x:f>SUM(F51:I51)</x:f>
        <x:v>9411947926996</x:v>
      </x:c>
      <x:c r="K51" s="42" t="n">
        <x:v>398743307317</x:v>
      </x:c>
      <x:c r="L51" s="42" t="n">
        <x:v>420037687992</x:v>
      </x:c>
      <x:c r="M51" s="42" t="n">
        <x:v>470229012441</x:v>
      </x:c>
      <x:c r="N51" s="42" t="n">
        <x:v>473250280351</x:v>
      </x:c>
      <x:c r="O51" s="42" t="n">
        <x:f>SUM(K51:N51)</x:f>
        <x:v>1762260288101</x:v>
      </x:c>
      <x:c r="P51" s="45" t="n">
        <x:f>IFERROR(O51/J51,0)</x:f>
        <x:v>0.18723651063201946</x:v>
      </x:c>
    </x:row>
    <x:row r="52">
      <x:c r="A52" s="33" t="n">
        <x:v>48</x:v>
      </x:c>
      <x:c r="B52" s="30" t="str">
        <x:v>동원산업</x:v>
      </x:c>
      <x:c r="C52" s="36" t="n">
        <x:v>118026</x:v>
      </x:c>
      <x:c r="D52" s="39" t="n">
        <x:v>6040</x:v>
      </x:c>
      <x:c r="E52" s="33" t="str">
        <x:v>CFS</x:v>
      </x:c>
      <x:c r="F52" s="42" t="n">
        <x:v>2241875243630</x:v>
      </x:c>
      <x:c r="G52" s="42" t="n">
        <x:v>2142854682814</x:v>
      </x:c>
      <x:c r="H52" s="42" t="n">
        <x:v>2339102663033</x:v>
      </x:c>
      <x:c r="I52" s="42" t="n">
        <x:v>2220399350249</x:v>
      </x:c>
      <x:c r="J52" s="42" t="n">
        <x:f>SUM(F52:I52)</x:f>
        <x:v>8944231939726</x:v>
      </x:c>
      <x:c r="K52" s="42" t="n">
        <x:v>110016086140</x:v>
      </x:c>
      <x:c r="L52" s="42" t="n">
        <x:v>84766661191</x:v>
      </x:c>
      <x:c r="M52" s="42" t="n">
        <x:v>174404558860</x:v>
      </x:c>
      <x:c r="N52" s="42" t="n">
        <x:v>132132634203</x:v>
      </x:c>
      <x:c r="O52" s="42" t="n">
        <x:f>SUM(K52:N52)</x:f>
        <x:v>501319940394</x:v>
      </x:c>
      <x:c r="P52" s="45" t="n">
        <x:f>IFERROR(O52/J52,0)</x:f>
        <x:v>0.056049523734662626</x:v>
      </x:c>
    </x:row>
    <x:row r="53">
      <x:c r="A53" s="33" t="n">
        <x:v>49</x:v>
      </x:c>
      <x:c r="B53" s="30" t="str">
        <x:v>HL만도</x:v>
      </x:c>
      <x:c r="C53" s="36" t="n">
        <x:v>1042775</x:v>
      </x:c>
      <x:c r="D53" s="39" t="n">
        <x:v>204320</x:v>
      </x:c>
      <x:c r="E53" s="33" t="str">
        <x:v>CFS</x:v>
      </x:c>
      <x:c r="F53" s="42" t="n">
        <x:v>2107342166042</x:v>
      </x:c>
      <x:c r="G53" s="42" t="n">
        <x:v>2147360059307</x:v>
      </x:c>
      <x:c r="H53" s="42" t="n">
        <x:v>2171723705077</x:v>
      </x:c>
      <x:c r="I53" s="42" t="n">
        <x:v>2421755941325</x:v>
      </x:c>
      <x:c r="J53" s="42" t="n">
        <x:f>SUM(F53:I53)</x:f>
        <x:v>8848181871751</x:v>
      </x:c>
      <x:c r="K53" s="42" t="n">
        <x:v>75617503929</x:v>
      </x:c>
      <x:c r="L53" s="42" t="n">
        <x:v>89624503819</x:v>
      </x:c>
      <x:c r="M53" s="42" t="n">
        <x:v>82496724219</x:v>
      </x:c>
      <x:c r="N53" s="42" t="n">
        <x:v>111022034864</x:v>
      </x:c>
      <x:c r="O53" s="42" t="n">
        <x:f>SUM(K53:N53)</x:f>
        <x:v>358760766831</x:v>
      </x:c>
      <x:c r="P53" s="45" t="n">
        <x:f>IFERROR(O53/J53,0)</x:f>
        <x:v>0.04054626950835986</x:v>
      </x:c>
    </x:row>
    <x:row r="54">
      <x:c r="A54" s="33" t="n">
        <x:v>50</x:v>
      </x:c>
      <x:c r="B54" s="30" t="str">
        <x:v>BGF리테일</x:v>
      </x:c>
      <x:c r="C54" s="36" t="n">
        <x:v>1263022</x:v>
      </x:c>
      <x:c r="D54" s="39" t="n">
        <x:v>282330</x:v>
      </x:c>
      <x:c r="E54" s="33" t="str">
        <x:v>CFS</x:v>
      </x:c>
      <x:c r="F54" s="42" t="n">
        <x:v>1953820037832</x:v>
      </x:c>
      <x:c r="G54" s="42" t="n">
        <x:v>2202880660591</x:v>
      </x:c>
      <x:c r="H54" s="42" t="n">
        <x:v>2325582280004</x:v>
      </x:c>
      <x:c r="I54" s="42" t="n">
        <x:v>2216474490684</x:v>
      </x:c>
      <x:c r="J54" s="42" t="n">
        <x:f>SUM(F54:I54)</x:f>
        <x:v>8698757469111</x:v>
      </x:c>
      <x:c r="K54" s="42" t="n">
        <x:v>32625992551</x:v>
      </x:c>
      <x:c r="L54" s="42" t="n">
        <x:v>76214866056</x:v>
      </x:c>
      <x:c r="M54" s="42" t="n">
        <x:v>91155803123</x:v>
      </x:c>
      <x:c r="N54" s="42" t="n">
        <x:v>51644585509</x:v>
      </x:c>
      <x:c r="O54" s="42" t="n">
        <x:f>SUM(K54:N54)</x:f>
        <x:v>251641247239</x:v>
      </x:c>
      <x:c r="P54" s="45" t="n">
        <x:f>IFERROR(O54/J54,0)</x:f>
        <x:v>0.02892841283741612</x:v>
      </x:c>
    </x:row>
    <x:row r="55">
      <x:c r="A55" s="33" t="n">
        <x:v>51</x:v>
      </x:c>
      <x:c r="B55" s="30" t="str">
        <x:v>아시아나항공</x:v>
      </x:c>
      <x:c r="C55" s="36" t="n">
        <x:v>138792</x:v>
      </x:c>
      <x:c r="D55" s="39" t="n">
        <x:v>20560</x:v>
      </x:c>
      <x:c r="E55" s="33" t="str">
        <x:v>CFS</x:v>
      </x:c>
      <x:c r="F55" s="42" t="n">
        <x:v>2008865525391</x:v>
      </x:c>
      <x:c r="G55" s="42" t="n">
        <x:v>2015348083684</x:v>
      </x:c>
      <x:c r="H55" s="42" t="n">
        <x:v>2177274236412</x:v>
      </x:c>
      <x:c r="I55" s="42" t="n">
        <x:v>2117079383224</x:v>
      </x:c>
      <x:c r="J55" s="42" t="n">
        <x:f>SUM(F55:I55)</x:f>
        <x:v>8318567228711</x:v>
      </x:c>
      <x:c r="K55" s="42" t="n">
        <x:v>62331003039</x:v>
      </x:c>
      <x:c r="L55" s="42" t="n">
        <x:v>18001350702</x:v>
      </x:c>
      <x:c r="M55" s="42" t="n">
        <x:v>176803426958</x:v>
      </x:c>
      <x:c r="N55" s="42" t="n">
        <x:v>18554611294</x:v>
      </x:c>
      <x:c r="O55" s="42" t="n">
        <x:f>SUM(K55:N55)</x:f>
        <x:v>275690391993</x:v>
      </x:c>
      <x:c r="P55" s="45" t="n">
        <x:f>IFERROR(O55/J55,0)</x:f>
        <x:v>0.033141571668913405</x:v>
      </x:c>
    </x:row>
    <x:row r="56">
      <x:c r="A56" s="33" t="n">
        <x:v>52</x:v>
      </x:c>
      <x:c r="B56" s="30" t="str">
        <x:v>DL이앤씨</x:v>
      </x:c>
      <x:c r="C56" s="36" t="n">
        <x:v>1524093</x:v>
      </x:c>
      <x:c r="D56" s="39" t="n">
        <x:v>375500</x:v>
      </x:c>
      <x:c r="E56" s="33" t="str">
        <x:v>CFS</x:v>
      </x:c>
      <x:c r="F56" s="42" t="n">
        <x:v>1890537605313</x:v>
      </x:c>
      <x:c r="G56" s="42" t="n">
        <x:v>2070221320140</x:v>
      </x:c>
      <x:c r="H56" s="42" t="n">
        <x:v>1918868748408</x:v>
      </x:c>
      <x:c r="I56" s="42" t="n">
        <x:v>2438814761196</x:v>
      </x:c>
      <x:c r="J56" s="42" t="n">
        <x:f>SUM(F56:I56)</x:f>
        <x:v>8318442435057</x:v>
      </x:c>
      <x:c r="K56" s="42" t="n">
        <x:v>60891558247</x:v>
      </x:c>
      <x:c r="L56" s="42" t="n">
        <x:v>32569939240</x:v>
      </x:c>
      <x:c r="M56" s="42" t="n">
        <x:v>83343429742</x:v>
      </x:c>
      <x:c r="N56" s="42" t="n">
        <x:v>94139932313</x:v>
      </x:c>
      <x:c r="O56" s="42" t="n">
        <x:f>SUM(K56:N56)</x:f>
        <x:v>270944859542</x:v>
      </x:c>
      <x:c r="P56" s="45" t="n">
        <x:f>IFERROR(O56/J56,0)</x:f>
        <x:v>0.032571585565121894</x:v>
      </x:c>
    </x:row>
    <x:row r="57">
      <x:c r="A57" s="33" t="n">
        <x:v>53</x:v>
      </x:c>
      <x:c r="B57" s="30" t="str">
        <x:v>현대위아</x:v>
      </x:c>
      <x:c r="C57" s="36" t="n">
        <x:v>106623</x:v>
      </x:c>
      <x:c r="D57" s="39" t="n">
        <x:v>11210</x:v>
      </x:c>
      <x:c r="E57" s="33" t="str">
        <x:v>CFS</x:v>
      </x:c>
      <x:c r="F57" s="42" t="n">
        <x:v>2141584000000</x:v>
      </x:c>
      <x:c r="G57" s="42" t="n">
        <x:v>2233112000000</x:v>
      </x:c>
      <x:c r="H57" s="42" t="n">
        <x:v>2101160000000</x:v>
      </x:c>
      <x:c r="I57" s="42" t="n">
        <x:v>1705030000000</x:v>
      </x:c>
      <x:c r="J57" s="42" t="n">
        <x:f>SUM(F57:I57)</x:f>
        <x:v>8180886000000</x:v>
      </x:c>
      <x:c r="K57" s="42" t="n">
        <x:v>59753000000</x:v>
      </x:c>
      <x:c r="L57" s="42" t="n">
        <x:v>69238000000</x:v>
      </x:c>
      <x:c r="M57" s="42" t="n">
        <x:v>52915000000</x:v>
      </x:c>
      <x:c r="N57" s="42" t="n">
        <x:v>36904000000</x:v>
      </x:c>
      <x:c r="O57" s="42" t="n">
        <x:f>SUM(K57:N57)</x:f>
        <x:v>218810000000</x:v>
      </x:c>
      <x:c r="P57" s="45" t="n">
        <x:f>IFERROR(O57/J57,0)</x:f>
        <x:v>0.026746491761405793</x:v>
      </x:c>
    </x:row>
    <x:row r="58">
      <x:c r="A58" s="33" t="n">
        <x:v>54</x:v>
      </x:c>
      <x:c r="B58" s="30" t="str">
        <x:v>카카오</x:v>
      </x:c>
      <x:c r="C58" s="36" t="n">
        <x:v>258801</x:v>
      </x:c>
      <x:c r="D58" s="39" t="n">
        <x:v>35720</x:v>
      </x:c>
      <x:c r="E58" s="33" t="str">
        <x:v>CFS</x:v>
      </x:c>
      <x:c r="F58" s="42" t="n">
        <x:v>1988350132018</x:v>
      </x:c>
      <x:c r="G58" s="42" t="n">
        <x:v>2004898184520</x:v>
      </x:c>
      <x:c r="H58" s="42" t="n">
        <x:v>1921397995104</x:v>
      </x:c>
      <x:c r="I58" s="42" t="n">
        <x:v>1957045888245</x:v>
      </x:c>
      <x:c r="J58" s="42" t="n">
        <x:f>SUM(F58:I58)</x:f>
        <x:v>7871692199887</x:v>
      </x:c>
      <x:c r="K58" s="42" t="n">
        <x:v>120294085011</x:v>
      </x:c>
      <x:c r="L58" s="42" t="n">
        <x:v>133964231639</x:v>
      </x:c>
      <x:c r="M58" s="42" t="n">
        <x:v>130525745048</x:v>
      </x:c>
      <x:c r="N58" s="42" t="n">
        <x:v>75428099827</x:v>
      </x:c>
      <x:c r="O58" s="42" t="n">
        <x:f>SUM(K58:N58)</x:f>
        <x:v>460212161525</x:v>
      </x:c>
      <x:c r="P58" s="45" t="n">
        <x:f>IFERROR(O58/J58,0)</x:f>
        <x:v>0.05846419674941132</x:v>
      </x:c>
    </x:row>
    <x:row r="59">
      <x:c r="A59" s="33" t="n">
        <x:v>55</x:v>
      </x:c>
      <x:c r="B59" s="30" t="str">
        <x:v>금호석유화학</x:v>
      </x:c>
      <x:c r="C59" s="36" t="n">
        <x:v>106368</x:v>
      </x:c>
      <x:c r="D59" s="39" t="n">
        <x:v>11780</x:v>
      </x:c>
      <x:c r="E59" s="33" t="str">
        <x:v>CFS</x:v>
      </x:c>
      <x:c r="F59" s="42" t="n">
        <x:v>1667489494430</x:v>
      </x:c>
      <x:c r="G59" s="42" t="n">
        <x:v>1852492782500</x:v>
      </x:c>
      <x:c r="H59" s="42" t="n">
        <x:v>1827889500711</x:v>
      </x:c>
      <x:c r="I59" s="42" t="n">
        <x:v>1807132008371</x:v>
      </x:c>
      <x:c r="J59" s="42" t="n">
        <x:f>SUM(F59:I59)</x:f>
        <x:v>7155003786012</x:v>
      </x:c>
      <x:c r="K59" s="42" t="n">
        <x:v>78606878736</x:v>
      </x:c>
      <x:c r="L59" s="42" t="n">
        <x:v>119148422774</x:v>
      </x:c>
      <x:c r="M59" s="42" t="n">
        <x:v>65077247210</x:v>
      </x:c>
      <x:c r="N59" s="42" t="n">
        <x:v>9971758868</x:v>
      </x:c>
      <x:c r="O59" s="42" t="n">
        <x:f>SUM(K59:N59)</x:f>
        <x:v>272804307588</x:v>
      </x:c>
      <x:c r="P59" s="45" t="n">
        <x:f>IFERROR(O59/J59,0)</x:f>
        <x:v>0.038127765651407644</x:v>
      </x:c>
    </x:row>
    <x:row r="60">
      <x:c r="A60" s="33" t="n">
        <x:v>56</x:v>
      </x:c>
      <x:c r="B60" s="30" t="str">
        <x:v>SK가스</x:v>
      </x:c>
      <x:c r="C60" s="36" t="n">
        <x:v>144164</x:v>
      </x:c>
      <x:c r="D60" s="39" t="n">
        <x:v>18670</x:v>
      </x:c>
      <x:c r="E60" s="33" t="str">
        <x:v>CFS</x:v>
      </x:c>
      <x:c r="F60" s="42" t="n">
        <x:v>1725906263098</x:v>
      </x:c>
      <x:c r="G60" s="42" t="n">
        <x:v>1651434218567</x:v>
      </x:c>
      <x:c r="H60" s="42" t="n">
        <x:v>1733818499737</x:v>
      </x:c>
      <x:c r="I60" s="42" t="n">
        <x:v>1984743078915</x:v>
      </x:c>
      <x:c r="J60" s="42" t="n">
        <x:f>SUM(F60:I60)</x:f>
        <x:v>7095902060317</x:v>
      </x:c>
      <x:c r="K60" s="42" t="n">
        <x:v>74621266686</x:v>
      </x:c>
      <x:c r="L60" s="42" t="n">
        <x:v>46946379856</x:v>
      </x:c>
      <x:c r="M60" s="42" t="n">
        <x:v>43012089987</x:v>
      </x:c>
      <x:c r="N60" s="42" t="n">
        <x:v>122596838630</x:v>
      </x:c>
      <x:c r="O60" s="42" t="n">
        <x:f>SUM(K60:N60)</x:f>
        <x:v>287176575159</x:v>
      </x:c>
      <x:c r="P60" s="45" t="n">
        <x:f>IFERROR(O60/J60,0)</x:f>
        <x:v>0.04047076364892369</x:v>
      </x:c>
    </x:row>
    <x:row r="61">
      <x:c r="A61" s="33" t="n">
        <x:v>57</x:v>
      </x:c>
      <x:c r="B61" s="30" t="str">
        <x:v>LG생활건강</x:v>
      </x:c>
      <x:c r="C61" s="36" t="n">
        <x:v>356370</x:v>
      </x:c>
      <x:c r="D61" s="39" t="n">
        <x:v>51900</x:v>
      </x:c>
      <x:c r="E61" s="33" t="str">
        <x:v>CFS</x:v>
      </x:c>
      <x:c r="F61" s="42" t="n">
        <x:v>1728701231113</x:v>
      </x:c>
      <x:c r="G61" s="42" t="n">
        <x:v>1759670347652</x:v>
      </x:c>
      <x:c r="H61" s="42" t="n">
        <x:v>1713627379529</x:v>
      </x:c>
      <x:c r="I61" s="42" t="n">
        <x:v>1609919798447</x:v>
      </x:c>
      <x:c r="J61" s="42" t="n">
        <x:f>SUM(F61:I61)</x:f>
        <x:v>6811918756741</x:v>
      </x:c>
      <x:c r="K61" s="42" t="n">
        <x:v>151033726598</x:v>
      </x:c>
      <x:c r="L61" s="42" t="n">
        <x:v>158537063877</x:v>
      </x:c>
      <x:c r="M61" s="42" t="n">
        <x:v>106078947680</x:v>
      </x:c>
      <x:c r="N61" s="42" t="n">
        <x:v>43396174025</x:v>
      </x:c>
      <x:c r="O61" s="42" t="n">
        <x:f>SUM(K61:N61)</x:f>
        <x:v>459045912180</x:v>
      </x:c>
      <x:c r="P61" s="45" t="n">
        <x:f>IFERROR(O61/J61,0)</x:f>
        <x:v>0.06738863579747384</x:v>
      </x:c>
    </x:row>
    <x:row r="62">
      <x:c r="A62" s="33" t="n">
        <x:v>58</x:v>
      </x:c>
      <x:c r="B62" s="30" t="str">
        <x:v>KT&amp;G</x:v>
      </x:c>
      <x:c r="C62" s="36" t="n">
        <x:v>244455</x:v>
      </x:c>
      <x:c r="D62" s="39" t="n">
        <x:v>33780</x:v>
      </x:c>
      <x:c r="E62" s="33" t="str">
        <x:v>CFS</x:v>
      </x:c>
      <x:c r="F62" s="42" t="n">
        <x:v>1292261000000</x:v>
      </x:c>
      <x:c r="G62" s="42" t="n">
        <x:v>1423774000000</x:v>
      </x:c>
      <x:c r="H62" s="42" t="n">
        <x:v>1636347000000</x:v>
      </x:c>
      <x:c r="I62" s="42" t="n">
        <x:v>1556410000000</x:v>
      </x:c>
      <x:c r="J62" s="42" t="n">
        <x:f>SUM(F62:I62)</x:f>
        <x:v>5908792000000</x:v>
      </x:c>
      <x:c r="K62" s="42" t="n">
        <x:v>236570000000</x:v>
      </x:c>
      <x:c r="L62" s="42" t="n">
        <x:v>321993000000</x:v>
      </x:c>
      <x:c r="M62" s="42" t="n">
        <x:v>417750000000</x:v>
      </x:c>
      <x:c r="N62" s="42" t="n">
        <x:v>212501000000</x:v>
      </x:c>
      <x:c r="O62" s="42" t="n">
        <x:f>SUM(K62:N62)</x:f>
        <x:v>1188814000000</x:v>
      </x:c>
      <x:c r="P62" s="45" t="n">
        <x:f>IFERROR(O62/J62,0)</x:f>
        <x:v>0.20119408501771596</x:v>
      </x:c>
    </x:row>
    <x:row r="63">
      <x:c r="A63" s="33" t="n">
        <x:v>59</x:v>
      </x:c>
      <x:c r="B63" s="30" t="str">
        <x:v>CJ ENM</x:v>
      </x:c>
      <x:c r="C63" s="36" t="n">
        <x:v>265324</x:v>
      </x:c>
      <x:c r="D63" s="39" t="n">
        <x:v>35760</x:v>
      </x:c>
      <x:c r="E63" s="33" t="str">
        <x:v>CFS</x:v>
      </x:c>
      <x:c r="F63" s="42" t="n">
        <x:v>1154143153636</x:v>
      </x:c>
      <x:c r="G63" s="42" t="n">
        <x:v>1164731113925</x:v>
      </x:c>
      <x:c r="H63" s="42" t="n">
        <x:v>1124550173902</x:v>
      </x:c>
      <x:c r="I63" s="42" t="n">
        <x:v>1787935632039</x:v>
      </x:c>
      <x:c r="J63" s="42" t="n">
        <x:f>SUM(F63:I63)</x:f>
        <x:v>5231360073502</x:v>
      </x:c>
      <x:c r="K63" s="42" t="n">
        <x:v>12333145568</x:v>
      </x:c>
      <x:c r="L63" s="42" t="n">
        <x:v>35326550939</x:v>
      </x:c>
      <x:c r="M63" s="42" t="n">
        <x:v>15833850699</x:v>
      </x:c>
      <x:c r="N63" s="42" t="n">
        <x:v>40984697291</x:v>
      </x:c>
      <x:c r="O63" s="42" t="n">
        <x:f>SUM(K63:N63)</x:f>
        <x:v>104478244497</x:v>
      </x:c>
      <x:c r="P63" s="45" t="n">
        <x:f>IFERROR(O63/J63,0)</x:f>
        <x:v>0.01997152614789517</x:v>
      </x:c>
    </x:row>
    <x:row r="64">
      <x:c r="A64" s="33" t="n">
        <x:v>60</x:v>
      </x:c>
      <x:c r="B64" s="30" t="str">
        <x:v>팬오션</x:v>
      </x:c>
      <x:c r="C64" s="36" t="n">
        <x:v>122737</x:v>
      </x:c>
      <x:c r="D64" s="39" t="n">
        <x:v>28670</x:v>
      </x:c>
      <x:c r="E64" s="33" t="str">
        <x:v>CFS</x:v>
      </x:c>
      <x:c r="F64" s="42" t="n">
        <x:v>975515000000</x:v>
      </x:c>
      <x:c r="G64" s="42" t="n">
        <x:v>1233427000000</x:v>
      </x:c>
      <x:c r="H64" s="42" t="n">
        <x:v>1276787000000</x:v>
      </x:c>
      <x:c r="I64" s="42" t="n">
        <x:v>1675489000000</x:v>
      </x:c>
      <x:c r="J64" s="42" t="n">
        <x:f>SUM(F64:I64)</x:f>
        <x:v>5161218000000</x:v>
      </x:c>
      <x:c r="K64" s="42" t="n">
        <x:v>98175000000</x:v>
      </x:c>
      <x:c r="L64" s="42" t="n">
        <x:v>135151000000</x:v>
      </x:c>
      <x:c r="M64" s="42" t="n">
        <x:v>128074000000</x:v>
      </x:c>
      <x:c r="N64" s="42" t="n">
        <x:v>109780000000</x:v>
      </x:c>
      <x:c r="O64" s="42" t="n">
        <x:f>SUM(K64:N64)</x:f>
        <x:v>471180000000</x:v>
      </x:c>
      <x:c r="P64" s="45" t="n">
        <x:f>IFERROR(O64/J64,0)</x:f>
        <x:v>0.09129240423481434</x:v>
      </x:c>
    </x:row>
    <x:row r="65">
      <x:c r="A65" s="33" t="n">
        <x:v>61</x:v>
      </x:c>
      <x:c r="B65" s="30" t="str">
        <x:v>풍산</x:v>
      </x:c>
      <x:c r="C65" s="36" t="n">
        <x:v>684714</x:v>
      </x:c>
      <x:c r="D65" s="39" t="n">
        <x:v>103140</x:v>
      </x:c>
      <x:c r="E65" s="33" t="str">
        <x:v>CFS</x:v>
      </x:c>
      <x:c r="F65" s="42" t="n">
        <x:v>963530753243</x:v>
      </x:c>
      <x:c r="G65" s="42" t="n">
        <x:v>1233626661437</x:v>
      </x:c>
      <x:c r="H65" s="42" t="n">
        <x:v>1129237012587</x:v>
      </x:c>
      <x:c r="I65" s="42" t="n">
        <x:v>1228017027366</x:v>
      </x:c>
      <x:c r="J65" s="42" t="n">
        <x:f>SUM(F65:I65)</x:f>
        <x:v>4554411454633</x:v>
      </x:c>
      <x:c r="K65" s="42" t="n">
        <x:v>54231421171</x:v>
      </x:c>
      <x:c r="L65" s="42" t="n">
        <x:v>161314167539</x:v>
      </x:c>
      <x:c r="M65" s="42" t="n">
        <x:v>74355248267</x:v>
      </x:c>
      <x:c r="N65" s="42" t="n">
        <x:v>33868056101</x:v>
      </x:c>
      <x:c r="O65" s="42" t="n">
        <x:f>SUM(K65:N65)</x:f>
        <x:v>323768893078</x:v>
      </x:c>
      <x:c r="P65" s="45" t="n">
        <x:f>IFERROR(O65/J65,0)</x:f>
        <x:v>0.07108907403362609</x:v>
      </x:c>
    </x:row>
    <x:row r="66">
      <x:c r="A66" s="33" t="n">
        <x:v>62</x:v>
      </x:c>
      <x:c r="B66" s="30" t="str">
        <x:v>삼성바이오로직스</x:v>
      </x:c>
      <x:c r="C66" s="36" t="n">
        <x:v>877059</x:v>
      </x:c>
      <x:c r="D66" s="39" t="n">
        <x:v>207940</x:v>
      </x:c>
      <x:c r="E66" s="33" t="str">
        <x:v>CFS</x:v>
      </x:c>
      <x:c r="F66" s="42" t="n">
        <x:v>946903318921</x:v>
      </x:c>
      <x:c r="G66" s="42" t="n">
        <x:v>1156904189162</x:v>
      </x:c>
      <x:c r="H66" s="42" t="n">
        <x:v>1187075475928</x:v>
      </x:c>
      <x:c r="I66" s="42" t="n">
        <x:v>1256439192410</x:v>
      </x:c>
      <x:c r="J66" s="42" t="n">
        <x:f>SUM(F66:I66)</x:f>
        <x:v>4547322176421</x:v>
      </x:c>
      <x:c r="K66" s="42" t="n">
        <x:v>221299256140</x:v>
      </x:c>
      <x:c r="L66" s="42" t="n">
        <x:v>434510778135</x:v>
      </x:c>
      <x:c r="M66" s="42" t="n">
        <x:v>338578425778</x:v>
      </x:c>
      <x:c r="N66" s="42" t="n">
        <x:v>325663920080</x:v>
      </x:c>
      <x:c r="O66" s="42" t="n">
        <x:f>SUM(K66:N66)</x:f>
        <x:v>1320052380133</x:v>
      </x:c>
      <x:c r="P66" s="45" t="n">
        <x:f>IFERROR(O66/J66,0)</x:f>
        <x:v>0.29029224869480347</x:v>
      </x:c>
    </x:row>
    <x:row r="67">
      <x:c r="A67" s="33" t="n">
        <x:v>63</x:v>
      </x:c>
      <x:c r="B67" s="30" t="str">
        <x:v>현대로템</x:v>
      </x:c>
      <x:c r="C67" s="36" t="n">
        <x:v>302926</x:v>
      </x:c>
      <x:c r="D67" s="39" t="n">
        <x:v>64350</x:v>
      </x:c>
      <x:c r="E67" s="33" t="str">
        <x:v>CFS</x:v>
      </x:c>
      <x:c r="F67" s="42" t="n">
        <x:v>747779451000</x:v>
      </x:c>
      <x:c r="G67" s="42" t="n">
        <x:v>1094527012000</x:v>
      </x:c>
      <x:c r="H67" s="42" t="n">
        <x:v>1093522970000</x:v>
      </x:c>
      <x:c r="I67" s="42" t="n">
        <x:v>1440768425000</x:v>
      </x:c>
      <x:c r="J67" s="42" t="n">
        <x:f>SUM(F67:I67)</x:f>
        <x:v>4376597858000</x:v>
      </x:c>
      <x:c r="K67" s="42" t="n">
        <x:v>44683613000</x:v>
      </x:c>
      <x:c r="L67" s="42" t="n">
        <x:v>112762515000</x:v>
      </x:c>
      <x:c r="M67" s="42" t="n">
        <x:v>137432636000</x:v>
      </x:c>
      <x:c r="N67" s="42" t="n">
        <x:v>161686770000</x:v>
      </x:c>
      <x:c r="O67" s="42" t="n">
        <x:f>SUM(K67:N67)</x:f>
        <x:v>456565534000</x:v>
      </x:c>
      <x:c r="P67" s="45" t="n">
        <x:f>IFERROR(O67/J67,0)</x:f>
        <x:v>0.1043197361999897</x:v>
      </x:c>
    </x:row>
    <x:row r="68">
      <x:c r="A68" s="33" t="n">
        <x:v>64</x:v>
      </x:c>
      <x:c r="B68" s="30" t="str">
        <x:v>대상</x:v>
      </x:c>
      <x:c r="C68" s="36" t="n">
        <x:v>121941</x:v>
      </x:c>
      <x:c r="D68" s="39" t="n">
        <x:v>1680</x:v>
      </x:c>
      <x:c r="E68" s="33" t="str">
        <x:v>CFS</x:v>
      </x:c>
      <x:c r="F68" s="42" t="n">
        <x:v>1044523165760</x:v>
      </x:c>
      <x:c r="G68" s="42" t="n">
        <x:v>1054219299628</x:v>
      </x:c>
      <x:c r="H68" s="42" t="n">
        <x:v>1111807004281</x:v>
      </x:c>
      <x:c r="I68" s="42" t="n">
        <x:v>1044585287898</x:v>
      </x:c>
      <x:c r="J68" s="42" t="n">
        <x:f>SUM(F68:I68)</x:f>
        <x:v>4255134757567</x:v>
      </x:c>
      <x:c r="K68" s="42" t="n">
        <x:v>47696134065</x:v>
      </x:c>
      <x:c r="L68" s="42" t="n">
        <x:v>44377424717</x:v>
      </x:c>
      <x:c r="M68" s="42" t="n">
        <x:v>51566906693</x:v>
      </x:c>
      <x:c r="N68" s="42" t="n">
        <x:v>33300680010</x:v>
      </x:c>
      <x:c r="O68" s="42" t="n">
        <x:f>SUM(K68:N68)</x:f>
        <x:v>176941145485</x:v>
      </x:c>
      <x:c r="P68" s="45" t="n">
        <x:f>IFERROR(O68/J68,0)</x:f>
        <x:v>0.04158297106110251</x:v>
      </x:c>
    </x:row>
    <x:row r="69">
      <x:c r="A69" s="33" t="n">
        <x:v>65</x:v>
      </x:c>
      <x:c r="B69" s="30" t="str">
        <x:v>현대백화점</x:v>
      </x:c>
      <x:c r="C69" s="36" t="n">
        <x:v>428251</x:v>
      </x:c>
      <x:c r="D69" s="39" t="n">
        <x:v>69960</x:v>
      </x:c>
      <x:c r="E69" s="33" t="str">
        <x:v>CFS</x:v>
      </x:c>
      <x:c r="F69" s="42" t="n">
        <x:v>951730723000</x:v>
      </x:c>
      <x:c r="G69" s="42" t="n">
        <x:v>1023813115000</x:v>
      </x:c>
      <x:c r="H69" s="42" t="n">
        <x:v>1036833981000</x:v>
      </x:c>
      <x:c r="I69" s="42" t="n">
        <x:v>1175236645000</x:v>
      </x:c>
      <x:c r="J69" s="42" t="n">
        <x:f>SUM(F69:I69)</x:f>
        <x:v>4187614464000</x:v>
      </x:c>
      <x:c r="K69" s="42" t="n">
        <x:v>68864398000</x:v>
      </x:c>
      <x:c r="L69" s="42" t="n">
        <x:v>42838068000</x:v>
      </x:c>
      <x:c r="M69" s="42" t="n">
        <x:v>64590613000</x:v>
      </x:c>
      <x:c r="N69" s="42" t="n">
        <x:v>107749410000</x:v>
      </x:c>
      <x:c r="O69" s="42" t="n">
        <x:f>SUM(K69:N69)</x:f>
        <x:v>284042489000</x:v>
      </x:c>
      <x:c r="P69" s="45" t="n">
        <x:f>IFERROR(O69/J69,0)</x:f>
        <x:v>0.06782918805965801</x:v>
      </x:c>
    </x:row>
    <x:row r="70">
      <x:c r="A70" s="33" t="n">
        <x:v>66</x:v>
      </x:c>
      <x:c r="B70" s="30" t="str">
        <x:v>롯데칠성음료</x:v>
      </x:c>
      <x:c r="C70" s="36" t="n">
        <x:v>120571</x:v>
      </x:c>
      <x:c r="D70" s="39" t="n">
        <x:v>5300</x:v>
      </x:c>
      <x:c r="E70" s="33" t="str">
        <x:v>CFS</x:v>
      </x:c>
      <x:c r="F70" s="42" t="n">
        <x:v>936890866248</x:v>
      </x:c>
      <x:c r="G70" s="42" t="n">
        <x:v>1099249543258</x:v>
      </x:c>
      <x:c r="H70" s="42" t="n">
        <x:v>1065040727139</x:v>
      </x:c>
      <x:c r="I70" s="42" t="n">
        <x:v>923322167839</x:v>
      </x:c>
      <x:c r="J70" s="42" t="n">
        <x:f>SUM(F70:I70)</x:f>
        <x:v>4024503304484</x:v>
      </x:c>
      <x:c r="K70" s="42" t="n">
        <x:v>36760343932</x:v>
      </x:c>
      <x:c r="L70" s="42" t="n">
        <x:v>60242714107</x:v>
      </x:c>
      <x:c r="M70" s="42" t="n">
        <x:v>78719422769</x:v>
      </x:c>
      <x:c r="N70" s="42" t="n">
        <x:v>9204356335</x:v>
      </x:c>
      <x:c r="O70" s="42" t="n">
        <x:f>SUM(K70:N70)</x:f>
        <x:v>184926837143</x:v>
      </x:c>
      <x:c r="P70" s="45" t="n">
        <x:f>IFERROR(O70/J70,0)</x:f>
        <x:v>0.045950226189890114</x:v>
      </x:c>
    </x:row>
    <x:row r="71">
      <x:c r="A71" s="33" t="n">
        <x:v>67</x:v>
      </x:c>
      <x:c r="B71" s="30" t="str">
        <x:v>호텔신라</x:v>
      </x:c>
      <x:c r="C71" s="36" t="n">
        <x:v>165680</x:v>
      </x:c>
      <x:c r="D71" s="39" t="n">
        <x:v>8770</x:v>
      </x:c>
      <x:c r="E71" s="33" t="str">
        <x:v>CFS</x:v>
      </x:c>
      <x:c r="F71" s="42" t="n">
        <x:v>980826187102</x:v>
      </x:c>
      <x:c r="G71" s="42" t="n">
        <x:v>1002686135964</x:v>
      </x:c>
      <x:c r="H71" s="42" t="n">
        <x:v>1016230122186</x:v>
      </x:c>
      <x:c r="I71" s="42" t="n">
        <x:v>947809758091</x:v>
      </x:c>
      <x:c r="J71" s="42" t="n">
        <x:f>SUM(F71:I71)</x:f>
        <x:v>3947552203343</x:v>
      </x:c>
      <x:c r="K71" s="42" t="n">
        <x:v>12122802054</x:v>
      </x:c>
      <x:c r="L71" s="42" t="n">
        <x:v>27628103403</x:v>
      </x:c>
      <x:c r="M71" s="42" t="n">
        <x:v>-16986449810</x:v>
      </x:c>
      <x:c r="N71" s="42" t="n">
        <x:v>-27948784949</x:v>
      </x:c>
      <x:c r="O71" s="42" t="n">
        <x:f>SUM(K71:N71)</x:f>
        <x:v>-5184329302</x:v>
      </x:c>
      <x:c r="P71" s="45" t="n">
        <x:f>IFERROR(O71/J71,0)</x:f>
        <x:v>-0.0013133022782091724</x:v>
      </x:c>
    </x:row>
    <x:row r="72">
      <x:c r="A72" s="33" t="n">
        <x:v>68</x:v>
      </x:c>
      <x:c r="B72" s="30" t="str">
        <x:v>아모레퍼시픽</x:v>
      </x:c>
      <x:c r="C72" s="36" t="n">
        <x:v>583424</x:v>
      </x:c>
      <x:c r="D72" s="39" t="n">
        <x:v>90430</x:v>
      </x:c>
      <x:c r="E72" s="33" t="str">
        <x:v>CFS</x:v>
      </x:c>
      <x:c r="F72" s="42" t="n">
        <x:v>911452525506</x:v>
      </x:c>
      <x:c r="G72" s="42" t="n">
        <x:v>904751327724</x:v>
      </x:c>
      <x:c r="H72" s="42" t="n">
        <x:v>977207865626</x:v>
      </x:c>
      <x:c r="I72" s="42" t="n">
        <x:v>1091698980330</x:v>
      </x:c>
      <x:c r="J72" s="42" t="n">
        <x:f>SUM(F72:I72)</x:f>
        <x:v>3885110699186</x:v>
      </x:c>
      <x:c r="K72" s="42" t="n">
        <x:v>72675928942</x:v>
      </x:c>
      <x:c r="L72" s="42" t="n">
        <x:v>4153760695</x:v>
      </x:c>
      <x:c r="M72" s="42" t="n">
        <x:v>65170990869</x:v>
      </x:c>
      <x:c r="N72" s="42" t="n">
        <x:v>78480663407</x:v>
      </x:c>
      <x:c r="O72" s="42" t="n">
        <x:f>SUM(K72:N72)</x:f>
        <x:v>220481343913</x:v>
      </x:c>
      <x:c r="P72" s="45" t="n">
        <x:f>IFERROR(O72/J72,0)</x:f>
        <x:v>0.056750337631098845</x:v>
      </x:c>
    </x:row>
    <x:row r="73">
      <x:c r="A73" s="33" t="n">
        <x:v>69</x:v>
      </x:c>
      <x:c r="B73" s="30" t="str">
        <x:v>세아베스틸지주</x:v>
      </x:c>
      <x:c r="C73" s="36" t="n">
        <x:v>106669</x:v>
      </x:c>
      <x:c r="D73" s="39" t="n">
        <x:v>1430</x:v>
      </x:c>
      <x:c r="E73" s="33" t="str">
        <x:v>CFS</x:v>
      </x:c>
      <x:c r="F73" s="42" t="n">
        <x:v>953055352570</x:v>
      </x:c>
      <x:c r="G73" s="42" t="n">
        <x:v>970077373441</x:v>
      </x:c>
      <x:c r="H73" s="42" t="n">
        <x:v>883476214897</x:v>
      </x:c>
      <x:c r="I73" s="42" t="n">
        <x:v>829454316786</x:v>
      </x:c>
      <x:c r="J73" s="42" t="n">
        <x:f>SUM(F73:I73)</x:f>
        <x:v>3636063257694</x:v>
      </x:c>
      <x:c r="K73" s="42" t="n">
        <x:v>21274741862</x:v>
      </x:c>
      <x:c r="L73" s="42" t="n">
        <x:v>63658581844</x:v>
      </x:c>
      <x:c r="M73" s="42" t="n">
        <x:v>24422859948</x:v>
      </x:c>
      <x:c r="N73" s="42" t="n">
        <x:v>-57024017304</x:v>
      </x:c>
      <x:c r="O73" s="42" t="n">
        <x:f>SUM(K73:N73)</x:f>
        <x:v>52332166350</x:v>
      </x:c>
      <x:c r="P73" s="45" t="n">
        <x:f>IFERROR(O73/J73,0)</x:f>
        <x:v>0.014392534629111262</x:v>
      </x:c>
    </x:row>
    <x:row r="74">
      <x:c r="A74" s="33" t="n">
        <x:v>70</x:v>
      </x:c>
      <x:c r="B74" s="30" t="str">
        <x:v>한국항공우주</x:v>
      </x:c>
      <x:c r="C74" s="36" t="n">
        <x:v>309503</x:v>
      </x:c>
      <x:c r="D74" s="39" t="n">
        <x:v>47810</x:v>
      </x:c>
      <x:c r="E74" s="33" t="str">
        <x:v>CFS</x:v>
      </x:c>
      <x:c r="F74" s="42" t="n">
        <x:v>739922390124</x:v>
      </x:c>
      <x:c r="G74" s="42" t="n">
        <x:v>891809660832</x:v>
      </x:c>
      <x:c r="H74" s="42" t="n">
        <x:v>907208791321</x:v>
      </x:c>
      <x:c r="I74" s="42" t="n">
        <x:v>1094801263563</x:v>
      </x:c>
      <x:c r="J74" s="42" t="n">
        <x:f>SUM(F74:I74)</x:f>
        <x:v>3633742105840</x:v>
      </x:c>
      <x:c r="K74" s="42" t="n">
        <x:v>48011991363</x:v>
      </x:c>
      <x:c r="L74" s="42" t="n">
        <x:v>74295976832</x:v>
      </x:c>
      <x:c r="M74" s="42" t="n">
        <x:v>76279139685</x:v>
      </x:c>
      <x:c r="N74" s="42" t="n">
        <x:v>42131202520</x:v>
      </x:c>
      <x:c r="O74" s="42" t="n">
        <x:f>SUM(K74:N74)</x:f>
        <x:v>240718310400</x:v>
      </x:c>
      <x:c r="P74" s="45" t="n">
        <x:f>IFERROR(O74/J74,0)</x:f>
        <x:v>0.06624529297583544</x:v>
      </x:c>
    </x:row>
    <x:row r="75">
      <x:c r="A75" s="33" t="n">
        <x:v>71</x:v>
      </x:c>
      <x:c r="B75" s="30" t="str">
        <x:v>셀트리온</x:v>
      </x:c>
      <x:c r="C75" s="36" t="n">
        <x:v>413046</x:v>
      </x:c>
      <x:c r="D75" s="39" t="n">
        <x:v>68270</x:v>
      </x:c>
      <x:c r="E75" s="33" t="str">
        <x:v>CFS</x:v>
      </x:c>
      <x:c r="F75" s="42" t="n">
        <x:v>736980406827</x:v>
      </x:c>
      <x:c r="G75" s="42" t="n">
        <x:v>874741298986</x:v>
      </x:c>
      <x:c r="H75" s="42" t="n">
        <x:v>881933317829</x:v>
      </x:c>
      <x:c r="I75" s="42" t="n">
        <x:v>1063648530729</x:v>
      </x:c>
      <x:c r="J75" s="42" t="n">
        <x:f>SUM(F75:I75)</x:f>
        <x:v>3557303554371</x:v>
      </x:c>
      <x:c r="K75" s="42" t="n">
        <x:v>15437339044</x:v>
      </x:c>
      <x:c r="L75" s="42" t="n">
        <x:v>72487799838</x:v>
      </x:c>
      <x:c r="M75" s="42" t="n">
        <x:v>207686368229</x:v>
      </x:c>
      <x:c r="N75" s="42" t="n">
        <x:v>196404027736</x:v>
      </x:c>
      <x:c r="O75" s="42" t="n">
        <x:f>SUM(K75:N75)</x:f>
        <x:v>492015534847</x:v>
      </x:c>
      <x:c r="P75" s="45" t="n">
        <x:f>IFERROR(O75/J75,0)</x:f>
        <x:v>0.13831137189359086</x:v>
      </x:c>
    </x:row>
    <x:row r="76">
      <x:c r="A76" s="33" t="n">
        <x:v>72</x:v>
      </x:c>
      <x:c r="B76" s="30" t="str">
        <x:v>오뚜기</x:v>
      </x:c>
      <x:c r="C76" s="36" t="n">
        <x:v>141529</x:v>
      </x:c>
      <x:c r="D76" s="39" t="n">
        <x:v>7310</x:v>
      </x:c>
      <x:c r="E76" s="33" t="str">
        <x:v>CFS</x:v>
      </x:c>
      <x:c r="F76" s="42" t="n">
        <x:v>883576134876</x:v>
      </x:c>
      <x:c r="G76" s="42" t="n">
        <x:v>859213257482</x:v>
      </x:c>
      <x:c r="H76" s="42" t="n">
        <x:v>904130264552</x:v>
      </x:c>
      <x:c r="I76" s="42" t="n">
        <x:v>892201225980</x:v>
      </x:c>
      <x:c r="J76" s="42" t="n">
        <x:f>SUM(F76:I76)</x:f>
        <x:v>3539120882890</x:v>
      </x:c>
      <x:c r="K76" s="42" t="n">
        <x:v>73204059892</x:v>
      </x:c>
      <x:c r="L76" s="42" t="n">
        <x:v>61608288512</x:v>
      </x:c>
      <x:c r="M76" s="42" t="n">
        <x:v>63564324241</x:v>
      </x:c>
      <x:c r="N76" s="42" t="n">
        <x:v>23637836418</x:v>
      </x:c>
      <x:c r="O76" s="42" t="n">
        <x:f>SUM(K76:N76)</x:f>
        <x:v>222014509063</x:v>
      </x:c>
      <x:c r="P76" s="45" t="n">
        <x:f>IFERROR(O76/J76,0)</x:f>
        <x:v>0.06273154164819197</x:v>
      </x:c>
    </x:row>
    <x:row r="77">
      <x:c r="A77" s="33" t="n">
        <x:v>73</x:v>
      </x:c>
      <x:c r="B77" s="30" t="str">
        <x:v>동국제강</x:v>
      </x:c>
      <x:c r="C77" s="36" t="n">
        <x:v>1765265</x:v>
      </x:c>
      <x:c r="D77" s="39" t="n">
        <x:v>460860</x:v>
      </x:c>
      <x:c r="E77" s="33" t="str">
        <x:v>OFS</x:v>
      </x:c>
      <x:c r="F77" s="42" t="n">
        <x:v>927256594032</x:v>
      </x:c>
      <x:c r="G77" s="42" t="n">
        <x:v>940165881288</x:v>
      </x:c>
      <x:c r="H77" s="42" t="n">
        <x:v>838555735584</x:v>
      </x:c>
      <x:c r="I77" s="42" t="n">
        <x:v>821547572102</x:v>
      </x:c>
      <x:c r="J77" s="42" t="n">
        <x:f>SUM(F77:I77)</x:f>
        <x:v>3527525783006</x:v>
      </x:c>
      <x:c r="K77" s="42" t="n">
        <x:v>52537903674</x:v>
      </x:c>
      <x:c r="L77" s="42" t="n">
        <x:v>40472505952</x:v>
      </x:c>
      <x:c r="M77" s="42" t="n">
        <x:v>21490574218</x:v>
      </x:c>
      <x:c r="N77" s="42" t="n">
        <x:v>-12026906080</x:v>
      </x:c>
      <x:c r="O77" s="42" t="n">
        <x:f>SUM(K77:N77)</x:f>
        <x:v>102474077764</x:v>
      </x:c>
      <x:c r="P77" s="45" t="n">
        <x:f>IFERROR(O77/J77,0)</x:f>
        <x:v>0.02904984515142967</x:v>
      </x:c>
    </x:row>
    <x:row r="78">
      <x:c r="A78" s="33" t="n">
        <x:v>74</x:v>
      </x:c>
      <x:c r="B78" s="30" t="str">
        <x:v>영원무역</x:v>
      </x:c>
      <x:c r="C78" s="36" t="n">
        <x:v>776820</x:v>
      </x:c>
      <x:c r="D78" s="39" t="n">
        <x:v>111770</x:v>
      </x:c>
      <x:c r="E78" s="33" t="str">
        <x:v>CFS</x:v>
      </x:c>
      <x:c r="F78" s="42" t="n">
        <x:v>709724405787</x:v>
      </x:c>
      <x:c r="G78" s="42" t="n">
        <x:v>892687058546</x:v>
      </x:c>
      <x:c r="H78" s="42" t="n">
        <x:v>1068493831706</x:v>
      </x:c>
      <x:c r="I78" s="42" t="n">
        <x:v>846931987254</x:v>
      </x:c>
      <x:c r="J78" s="42" t="n">
        <x:f>SUM(F78:I78)</x:f>
        <x:v>3517837283293</x:v>
      </x:c>
      <x:c r="K78" s="42" t="n">
        <x:v>71042508971</x:v>
      </x:c>
      <x:c r="L78" s="42" t="n">
        <x:v>166451779097</x:v>
      </x:c>
      <x:c r="M78" s="42" t="n">
        <x:v>104512545567</x:v>
      </x:c>
      <x:c r="N78" s="42" t="n">
        <x:v>-26426250325</x:v>
      </x:c>
      <x:c r="O78" s="42" t="n">
        <x:f>SUM(K78:N78)</x:f>
        <x:v>315580583310</x:v>
      </x:c>
      <x:c r="P78" s="45" t="n">
        <x:f>IFERROR(O78/J78,0)</x:f>
        <x:v>0.08970869255629392</x:v>
      </x:c>
    </x:row>
    <x:row r="79">
      <x:c r="A79" s="33" t="n">
        <x:v>75</x:v>
      </x:c>
      <x:c r="B79" s="30" t="str">
        <x:v>농심</x:v>
      </x:c>
      <x:c r="C79" s="36" t="n">
        <x:v>108241</x:v>
      </x:c>
      <x:c r="D79" s="39" t="n">
        <x:v>4370</x:v>
      </x:c>
      <x:c r="E79" s="33" t="str">
        <x:v>CFS</x:v>
      </x:c>
      <x:c r="F79" s="42" t="n">
        <x:v>872535080710</x:v>
      </x:c>
      <x:c r="G79" s="42" t="n">
        <x:v>860699099208</x:v>
      </x:c>
      <x:c r="H79" s="42" t="n">
        <x:v>850390703996</x:v>
      </x:c>
      <x:c r="I79" s="42" t="n">
        <x:v>855105974084</x:v>
      </x:c>
      <x:c r="J79" s="42" t="n">
        <x:f>SUM(F79:I79)</x:f>
        <x:v>3438730857998</x:v>
      </x:c>
      <x:c r="K79" s="42" t="n">
        <x:v>61382480799</x:v>
      </x:c>
      <x:c r="L79" s="42" t="n">
        <x:v>43678194387</x:v>
      </x:c>
      <x:c r="M79" s="42" t="n">
        <x:v>37602265991</x:v>
      </x:c>
      <x:c r="N79" s="42" t="n">
        <x:v>20410990753</x:v>
      </x:c>
      <x:c r="O79" s="42" t="n">
        <x:f>SUM(K79:N79)</x:f>
        <x:v>163073931930</x:v>
      </x:c>
      <x:c r="P79" s="45" t="n">
        <x:f>IFERROR(O79/J79,0)</x:f>
        <x:v>0.04742270874462687</x:v>
      </x:c>
    </x:row>
    <x:row r="80">
      <x:c r="A80" s="33" t="n">
        <x:v>76</x:v>
      </x:c>
      <x:c r="B80" s="30" t="str">
        <x:v>오리온</x:v>
      </x:c>
      <x:c r="C80" s="36" t="n">
        <x:v>1238169</x:v>
      </x:c>
      <x:c r="D80" s="39" t="n">
        <x:v>271560</x:v>
      </x:c>
      <x:c r="E80" s="33" t="str">
        <x:v>CFS</x:v>
      </x:c>
      <x:c r="F80" s="42" t="n">
        <x:v>748390551360</x:v>
      </x:c>
      <x:c r="G80" s="42" t="n">
        <x:v>719263617517</x:v>
      </x:c>
      <x:c r="H80" s="42" t="n">
        <x:v>774870127446</x:v>
      </x:c>
      <x:c r="I80" s="42" t="n">
        <x:v>861814279806</x:v>
      </x:c>
      <x:c r="J80" s="42" t="n">
        <x:f>SUM(F80:I80)</x:f>
        <x:v>3104338576129</x:v>
      </x:c>
      <x:c r="K80" s="42" t="n">
        <x:v>125135086468</x:v>
      </x:c>
      <x:c r="L80" s="42" t="n">
        <x:v>121709967091</x:v>
      </x:c>
      <x:c r="M80" s="42" t="n">
        <x:v>137067139651</x:v>
      </x:c>
      <x:c r="N80" s="42" t="n">
        <x:v>159675585031</x:v>
      </x:c>
      <x:c r="O80" s="42" t="n">
        <x:f>SUM(K80:N80)</x:f>
        <x:v>543587778241</x:v>
      </x:c>
      <x:c r="P80" s="45" t="n">
        <x:f>IFERROR(O80/J80,0)</x:f>
        <x:v>0.17510582847533165</x:v>
      </x:c>
    </x:row>
    <x:row r="81">
      <x:c r="A81" s="33" t="n">
        <x:v>77</x:v>
      </x:c>
      <x:c r="B81" s="30" t="str">
        <x:v>에코프로비엠</x:v>
      </x:c>
      <x:c r="C81" s="36" t="n">
        <x:v>1160363</x:v>
      </x:c>
      <x:c r="D81" s="39" t="n">
        <x:v>247540</x:v>
      </x:c>
      <x:c r="E81" s="33" t="str">
        <x:v>CFS</x:v>
      </x:c>
      <x:c r="F81" s="42" t="n">
        <x:v>970459189322</x:v>
      </x:c>
      <x:c r="G81" s="42" t="n">
        <x:v>809516920383</x:v>
      </x:c>
      <x:c r="H81" s="42" t="n">
        <x:v>521936343949</x:v>
      </x:c>
      <x:c r="I81" s="42" t="n">
        <x:v>464925296498</x:v>
      </x:c>
      <x:c r="J81" s="42" t="n">
        <x:f>SUM(F81:I81)</x:f>
        <x:v>2766837750152</x:v>
      </x:c>
      <x:c r="K81" s="42" t="n">
        <x:v>6684156866</x:v>
      </x:c>
      <x:c r="L81" s="42" t="n">
        <x:v>3891624609</x:v>
      </x:c>
      <x:c r="M81" s="42" t="n">
        <x:v>-41229364045</x:v>
      </x:c>
      <x:c r="N81" s="42" t="n">
        <x:v>-3455781539</x:v>
      </x:c>
      <x:c r="O81" s="42" t="n">
        <x:f>SUM(K81:N81)</x:f>
        <x:v>-34109364109</x:v>
      </x:c>
      <x:c r="P81" s="45" t="n">
        <x:f>IFERROR(O81/J81,0)</x:f>
        <x:v>-0.012327923495740275</x:v>
      </x:c>
    </x:row>
    <x:row r="82">
      <x:c r="A82" s="33" t="n">
        <x:v>78</x:v>
      </x:c>
      <x:c r="B82" s="30" t="str">
        <x:v>크래프톤</x:v>
      </x:c>
      <x:c r="C82" s="36" t="n">
        <x:v>760971</x:v>
      </x:c>
      <x:c r="D82" s="39" t="n">
        <x:v>259960</x:v>
      </x:c>
      <x:c r="E82" s="33" t="str">
        <x:v>CFS</x:v>
      </x:c>
      <x:c r="F82" s="42" t="n">
        <x:v>665908746665</x:v>
      </x:c>
      <x:c r="G82" s="42" t="n">
        <x:v>707023004068</x:v>
      </x:c>
      <x:c r="H82" s="42" t="n">
        <x:v>719274864181</x:v>
      </x:c>
      <x:c r="I82" s="42" t="n">
        <x:v>617567491674</x:v>
      </x:c>
      <x:c r="J82" s="42" t="n">
        <x:f>SUM(F82:I82)</x:f>
        <x:v>2709774106588</x:v>
      </x:c>
      <x:c r="K82" s="42" t="n">
        <x:v>310500848630</x:v>
      </x:c>
      <x:c r="L82" s="42" t="n">
        <x:v>332109396449</x:v>
      </x:c>
      <x:c r="M82" s="42" t="n">
        <x:v>324420287197</x:v>
      </x:c>
      <x:c r="N82" s="42" t="n">
        <x:v>215457151912</x:v>
      </x:c>
      <x:c r="O82" s="42" t="n">
        <x:f>SUM(K82:N82)</x:f>
        <x:v>1182487684188</x:v>
      </x:c>
      <x:c r="P82" s="45" t="n">
        <x:f>IFERROR(O82/J82,0)</x:f>
        <x:v>0.43637869345387026</x:v>
      </x:c>
    </x:row>
    <x:row r="83">
      <x:c r="A83" s="33" t="n">
        <x:v>79</x:v>
      </x:c>
      <x:c r="B83" s="30" t="str">
        <x:v>넷마블</x:v>
      </x:c>
      <x:c r="C83" s="36" t="n">
        <x:v>904672</x:v>
      </x:c>
      <x:c r="D83" s="39" t="n">
        <x:v>251270</x:v>
      </x:c>
      <x:c r="E83" s="33" t="str">
        <x:v>CFS</x:v>
      </x:c>
      <x:c r="F83" s="42" t="n">
        <x:v>585386793718</x:v>
      </x:c>
      <x:c r="G83" s="42" t="n">
        <x:v>782086584242</x:v>
      </x:c>
      <x:c r="H83" s="42" t="n">
        <x:v>647310764577</x:v>
      </x:c>
      <x:c r="I83" s="42" t="n">
        <x:v>648999027373</x:v>
      </x:c>
      <x:c r="J83" s="42" t="n">
        <x:f>SUM(F83:I83)</x:f>
        <x:v>2663783169910</x:v>
      </x:c>
      <x:c r="K83" s="42" t="n">
        <x:v>3693042333</x:v>
      </x:c>
      <x:c r="L83" s="42" t="n">
        <x:v>111211470656</x:v>
      </x:c>
      <x:c r="M83" s="42" t="n">
        <x:v>65495481623</x:v>
      </x:c>
      <x:c r="N83" s="42" t="n">
        <x:v>35227220576</x:v>
      </x:c>
      <x:c r="O83" s="42" t="n">
        <x:f>SUM(K83:N83)</x:f>
        <x:v>215627215188</x:v>
      </x:c>
      <x:c r="P83" s="45" t="n">
        <x:f>IFERROR(O83/J83,0)</x:f>
        <x:v>0.08094773539517681</x:v>
      </x:c>
    </x:row>
    <x:row r="84">
      <x:c r="A84" s="33" t="n">
        <x:v>80</x:v>
      </x:c>
      <x:c r="B84" s="30" t="str">
        <x:v>하이트진로</x:v>
      </x:c>
      <x:c r="C84" s="36" t="n">
        <x:v>150244</x:v>
      </x:c>
      <x:c r="D84" s="39" t="n">
        <x:v>80</x:v>
      </x:c>
      <x:c r="E84" s="33" t="str">
        <x:v>CFS</x:v>
      </x:c>
      <x:c r="F84" s="42" t="n">
        <x:v>621149368492</x:v>
      </x:c>
      <x:c r="G84" s="42" t="n">
        <x:v>665239760116</x:v>
      </x:c>
      <x:c r="H84" s="42" t="n">
        <x:v>685740216532</x:v>
      </x:c>
      <x:c r="I84" s="42" t="n">
        <x:v>627054062883</x:v>
      </x:c>
      <x:c r="J84" s="42" t="n">
        <x:f>SUM(F84:I84)</x:f>
        <x:v>2599183408023</x:v>
      </x:c>
      <x:c r="K84" s="42" t="n">
        <x:v>48351964327</x:v>
      </x:c>
      <x:c r="L84" s="42" t="n">
        <x:v>68246734750</x:v>
      </x:c>
      <x:c r="M84" s="42" t="n">
        <x:v>70200439628</x:v>
      </x:c>
      <x:c r="N84" s="42" t="n">
        <x:v>21342732720</x:v>
      </x:c>
      <x:c r="O84" s="42" t="n">
        <x:f>SUM(K84:N84)</x:f>
        <x:v>208141871425</x:v>
      </x:c>
      <x:c r="P84" s="45" t="n">
        <x:f>IFERROR(O84/J84,0)</x:f>
        <x:v>0.08007971687666228</x:v>
      </x:c>
    </x:row>
    <x:row r="85">
      <x:c r="A85" s="33" t="n">
        <x:v>81</x:v>
      </x:c>
      <x:c r="B85" s="30" t="str">
        <x:v>한국콜마</x:v>
      </x:c>
      <x:c r="C85" s="36" t="n">
        <x:v>939331</x:v>
      </x:c>
      <x:c r="D85" s="39" t="n">
        <x:v>161890</x:v>
      </x:c>
      <x:c r="E85" s="33" t="str">
        <x:v>CFS</x:v>
      </x:c>
      <x:c r="F85" s="42" t="n">
        <x:v>574789537510</x:v>
      </x:c>
      <x:c r="G85" s="42" t="n">
        <x:v>660271275247</x:v>
      </x:c>
      <x:c r="H85" s="42" t="n">
        <x:v>626505190045</x:v>
      </x:c>
      <x:c r="I85" s="42" t="n">
        <x:v>590497977661</x:v>
      </x:c>
      <x:c r="J85" s="42" t="n">
        <x:f>SUM(F85:I85)</x:f>
        <x:v>2452063980463</x:v>
      </x:c>
      <x:c r="K85" s="42" t="n">
        <x:v>32429767326</x:v>
      </x:c>
      <x:c r="L85" s="42" t="n">
        <x:v>71741069792</x:v>
      </x:c>
      <x:c r="M85" s="42" t="n">
        <x:v>54539639175</x:v>
      </x:c>
      <x:c r="N85" s="42" t="n">
        <x:v>35139948055</x:v>
      </x:c>
      <x:c r="O85" s="42" t="n">
        <x:f>SUM(K85:N85)</x:f>
        <x:v>193850424348</x:v>
      </x:c>
      <x:c r="P85" s="45" t="n">
        <x:f>IFERROR(O85/J85,0)</x:f>
        <x:v>0.0790560221480832</x:v>
      </x:c>
    </x:row>
    <x:row r="86">
      <x:c r="A86" s="33" t="n">
        <x:v>82</x:v>
      </x:c>
      <x:c r="B86" s="30" t="str">
        <x:v>효성</x:v>
      </x:c>
      <x:c r="C86" s="36" t="n">
        <x:v>117188</x:v>
      </x:c>
      <x:c r="D86" s="39" t="n">
        <x:v>4800</x:v>
      </x:c>
      <x:c r="E86" s="33" t="str">
        <x:v>CFS</x:v>
      </x:c>
      <x:c r="F86" s="42" t="n">
        <x:v>836823457909</x:v>
      </x:c>
      <x:c r="G86" s="42" t="n">
        <x:v>148101970968</x:v>
      </x:c>
      <x:c r="H86" s="42" t="n">
        <x:v>577696598026</x:v>
      </x:c>
      <x:c r="I86" s="42" t="n">
        <x:v>710134371657</x:v>
      </x:c>
      <x:c r="J86" s="42" t="n">
        <x:f>SUM(F86:I86)</x:f>
        <x:v>2272756398560</x:v>
      </x:c>
      <x:c r="K86" s="42" t="n">
        <x:v>25511349633</x:v>
      </x:c>
      <x:c r="L86" s="42" t="n">
        <x:v>18731619904</x:v>
      </x:c>
      <x:c r="M86" s="42" t="n">
        <x:v>47436249059</x:v>
      </x:c>
      <x:c r="N86" s="42" t="n">
        <x:v>129454160714</x:v>
      </x:c>
      <x:c r="O86" s="42" t="n">
        <x:f>SUM(K86:N86)</x:f>
        <x:v>221133379310</x:v>
      </x:c>
      <x:c r="P86" s="45" t="n">
        <x:f>IFERROR(O86/J86,0)</x:f>
        <x:v>0.0972974399940567</x:v>
      </x:c>
    </x:row>
    <x:row r="87">
      <x:c r="A87" s="33" t="n">
        <x:v>83</x:v>
      </x:c>
      <x:c r="B87" s="30" t="str">
        <x:v>한솔제지</x:v>
      </x:c>
      <x:c r="C87" s="36" t="n">
        <x:v>1060744</x:v>
      </x:c>
      <x:c r="D87" s="39" t="n">
        <x:v>213500</x:v>
      </x:c>
      <x:c r="E87" s="33" t="str">
        <x:v>CFS</x:v>
      </x:c>
      <x:c r="F87" s="42" t="n">
        <x:v>534109495744</x:v>
      </x:c>
      <x:c r="G87" s="42" t="n">
        <x:v>562969999425</x:v>
      </x:c>
      <x:c r="H87" s="42" t="n">
        <x:v>556191748356</x:v>
      </x:c>
      <x:c r="I87" s="42" t="n">
        <x:v>562521181267</x:v>
      </x:c>
      <x:c r="J87" s="42" t="n">
        <x:f>SUM(F87:I87)</x:f>
        <x:v>2215792424792</x:v>
      </x:c>
      <x:c r="K87" s="42" t="n">
        <x:v>33970273228</x:v>
      </x:c>
      <x:c r="L87" s="42" t="n">
        <x:v>5072197973</x:v>
      </x:c>
      <x:c r="M87" s="42" t="n">
        <x:v>-4338998501</x:v>
      </x:c>
      <x:c r="N87" s="42" t="n">
        <x:v>-12712177780</x:v>
      </x:c>
      <x:c r="O87" s="42" t="n">
        <x:f>SUM(K87:N87)</x:f>
        <x:v>21991294920</x:v>
      </x:c>
      <x:c r="P87" s="45" t="n">
        <x:f>IFERROR(O87/J87,0)</x:f>
        <x:v>0.009924799215822015</x:v>
      </x:c>
    </x:row>
    <x:row r="88">
      <x:c r="A88" s="33" t="n">
        <x:v>84</x:v>
      </x:c>
      <x:c r="B88" s="30" t="str">
        <x:v>코스맥스</x:v>
      </x:c>
      <x:c r="C88" s="36" t="n">
        <x:v>1009789</x:v>
      </x:c>
      <x:c r="D88" s="39" t="n">
        <x:v>192820</x:v>
      </x:c>
      <x:c r="E88" s="33" t="str">
        <x:v>CFS</x:v>
      </x:c>
      <x:c r="F88" s="42" t="n">
        <x:v>526802196511</x:v>
      </x:c>
      <x:c r="G88" s="42" t="n">
        <x:v>551453223808</x:v>
      </x:c>
      <x:c r="H88" s="42" t="n">
        <x:v>529831883083</x:v>
      </x:c>
      <x:c r="I88" s="42" t="n">
        <x:v>558002333340</x:v>
      </x:c>
      <x:c r="J88" s="42" t="n">
        <x:f>SUM(F88:I88)</x:f>
        <x:v>2166089636742</x:v>
      </x:c>
      <x:c r="K88" s="42" t="n">
        <x:v>45453238793</x:v>
      </x:c>
      <x:c r="L88" s="42" t="n">
        <x:v>46712160025</x:v>
      </x:c>
      <x:c r="M88" s="42" t="n">
        <x:v>43413150653</x:v>
      </x:c>
      <x:c r="N88" s="42" t="n">
        <x:v>39816729634</x:v>
      </x:c>
      <x:c r="O88" s="42" t="n">
        <x:f>SUM(K88:N88)</x:f>
        <x:v>175395279105</x:v>
      </x:c>
      <x:c r="P88" s="45" t="n">
        <x:f>IFERROR(O88/J88,0)</x:f>
        <x:v>0.08097323219218702</x:v>
      </x:c>
    </x:row>
    <x:row r="89">
      <x:c r="A89" s="33" t="n">
        <x:v>85</x:v>
      </x:c>
      <x:c r="B89" s="30" t="str">
        <x:v>유한양행</x:v>
      </x:c>
      <x:c r="C89" s="36" t="n">
        <x:v>145109</x:v>
      </x:c>
      <x:c r="D89" s="39" t="n">
        <x:v>100</x:v>
      </x:c>
      <x:c r="E89" s="33" t="str">
        <x:v>CFS</x:v>
      </x:c>
      <x:c r="F89" s="42" t="n">
        <x:v>444593457592</x:v>
      </x:c>
      <x:c r="G89" s="42" t="n">
        <x:v>528312352203</x:v>
      </x:c>
      <x:c r="H89" s="42" t="n">
        <x:v>598784904117</x:v>
      </x:c>
      <x:c r="I89" s="42" t="n">
        <x:v>496100737942</x:v>
      </x:c>
      <x:c r="J89" s="42" t="n">
        <x:f>SUM(F89:I89)</x:f>
        <x:v>2067791451854</x:v>
      </x:c>
      <x:c r="K89" s="42" t="n">
        <x:v>577136746</x:v>
      </x:c>
      <x:c r="L89" s="42" t="n">
        <x:v>18542379417</x:v>
      </x:c>
      <x:c r="M89" s="42" t="n">
        <x:v>47577974423</x:v>
      </x:c>
      <x:c r="N89" s="42" t="n">
        <x:v>-11817170977</x:v>
      </x:c>
      <x:c r="O89" s="42" t="n">
        <x:f>SUM(K89:N89)</x:f>
        <x:v>54880319609</x:v>
      </x:c>
      <x:c r="P89" s="45" t="n">
        <x:f>IFERROR(O89/J89,0)</x:f>
        <x:v>0.026540548641785816</x:v>
      </x:c>
    </x:row>
    <x:row r="90">
      <x:c r="A90" s="33" t="n">
        <x:v>86</x:v>
      </x:c>
      <x:c r="B90" s="30" t="str">
        <x:v>한샘</x:v>
      </x:c>
      <x:c r="C90" s="36" t="n">
        <x:v>161693</x:v>
      </x:c>
      <x:c r="D90" s="39" t="n">
        <x:v>9240</x:v>
      </x:c>
      <x:c r="E90" s="33" t="str">
        <x:v>CFS</x:v>
      </x:c>
      <x:c r="F90" s="42" t="n">
        <x:v>485898654863</x:v>
      </x:c>
      <x:c r="G90" s="42" t="n">
        <x:v>477996437020</x:v>
      </x:c>
      <x:c r="H90" s="42" t="n">
        <x:v>454094680318</x:v>
      </x:c>
      <x:c r="I90" s="42" t="n">
        <x:v>490400987996</x:v>
      </x:c>
      <x:c r="J90" s="42" t="n">
        <x:f>SUM(F90:I90)</x:f>
        <x:v>1908390760197</x:v>
      </x:c>
      <x:c r="K90" s="42" t="n">
        <x:v>12995109741</x:v>
      </x:c>
      <x:c r="L90" s="42" t="n">
        <x:v>7089777696</x:v>
      </x:c>
      <x:c r="M90" s="42" t="n">
        <x:v>7286248429</x:v>
      </x:c>
      <x:c r="N90" s="42" t="n">
        <x:v>3858179890</x:v>
      </x:c>
      <x:c r="O90" s="42" t="n">
        <x:f>SUM(K90:N90)</x:f>
        <x:v>31229315756</x:v>
      </x:c>
      <x:c r="P90" s="45" t="n">
        <x:f>IFERROR(O90/J90,0)</x:f>
        <x:v>0.016364214503310763</x:v>
      </x:c>
    </x:row>
    <x:row r="91">
      <x:c r="A91" s="33" t="n">
        <x:v>87</x:v>
      </x:c>
      <x:c r="B91" s="30" t="str">
        <x:v>F&amp;F</x:v>
      </x:c>
      <x:c r="C91" s="36" t="n">
        <x:v>1568413</x:v>
      </x:c>
      <x:c r="D91" s="39" t="n">
        <x:v>383220</x:v>
      </x:c>
      <x:c r="E91" s="33" t="str">
        <x:v>CFS</x:v>
      </x:c>
      <x:c r="F91" s="42" t="n">
        <x:v>507028728355</x:v>
      </x:c>
      <x:c r="G91" s="42" t="n">
        <x:v>391472978343</x:v>
      </x:c>
      <x:c r="H91" s="42" t="n">
        <x:v>450963437094</x:v>
      </x:c>
      <x:c r="I91" s="42" t="n">
        <x:v>546544446294</x:v>
      </x:c>
      <x:c r="J91" s="42" t="n">
        <x:f>SUM(F91:I91)</x:f>
        <x:v>1896009590086</x:v>
      </x:c>
      <x:c r="K91" s="42" t="n">
        <x:v>130211001500</x:v>
      </x:c>
      <x:c r="L91" s="42" t="n">
        <x:v>91801185581</x:v>
      </x:c>
      <x:c r="M91" s="42" t="n">
        <x:v>108304866337</x:v>
      </x:c>
      <x:c r="N91" s="42" t="n">
        <x:v>120420406319</x:v>
      </x:c>
      <x:c r="O91" s="42" t="n">
        <x:f>SUM(K91:N91)</x:f>
        <x:v>450737459737</x:v>
      </x:c>
      <x:c r="P91" s="45" t="n">
        <x:f>IFERROR(O91/J91,0)</x:f>
        <x:v>0.237729525258654</x:v>
      </x:c>
    </x:row>
    <x:row r="92">
      <x:c r="A92" s="33" t="n">
        <x:v>88</x:v>
      </x:c>
      <x:c r="B92" s="30" t="str">
        <x:v>녹십자</x:v>
      </x:c>
      <x:c r="C92" s="36" t="n">
        <x:v>129679</x:v>
      </x:c>
      <x:c r="D92" s="39" t="n">
        <x:v>6280</x:v>
      </x:c>
      <x:c r="E92" s="33" t="str">
        <x:v>CFS</x:v>
      </x:c>
      <x:c r="F92" s="42" t="n">
        <x:v>356809615063</x:v>
      </x:c>
      <x:c r="G92" s="42" t="n">
        <x:v>417363117829</x:v>
      </x:c>
      <x:c r="H92" s="42" t="n">
        <x:v>464865549366</x:v>
      </x:c>
      <x:c r="I92" s="42" t="n">
        <x:v>440853659219</x:v>
      </x:c>
      <x:c r="J92" s="42" t="n">
        <x:f>SUM(F92:I92)</x:f>
        <x:v>1679891941477</x:v>
      </x:c>
      <x:c r="K92" s="42" t="n">
        <x:v>-15015343226</x:v>
      </x:c>
      <x:c r="L92" s="42" t="n">
        <x:v>17649631704</x:v>
      </x:c>
      <x:c r="M92" s="42" t="n">
        <x:v>39574371979</x:v>
      </x:c>
      <x:c r="N92" s="42" t="n">
        <x:v>-10101312568</x:v>
      </x:c>
      <x:c r="O92" s="42" t="n">
        <x:f>SUM(K92:N92)</x:f>
        <x:v>32107347889</x:v>
      </x:c>
      <x:c r="P92" s="45" t="n">
        <x:f>IFERROR(O92/J92,0)</x:f>
        <x:v>0.01911274594291492</x:v>
      </x:c>
    </x:row>
    <x:row r="93">
      <x:c r="A93" s="33" t="n">
        <x:v>89</x:v>
      </x:c>
      <x:c r="B93" s="30" t="str">
        <x:v>종근당</x:v>
      </x:c>
      <x:c r="C93" s="36" t="n">
        <x:v>992871</x:v>
      </x:c>
      <x:c r="D93" s="39" t="n">
        <x:v>185750</x:v>
      </x:c>
      <x:c r="E93" s="33" t="str">
        <x:v>CFS</x:v>
      </x:c>
      <x:c r="F93" s="42" t="n">
        <x:v>361502275698</x:v>
      </x:c>
      <x:c r="G93" s="42" t="n">
        <x:v>396802358706</x:v>
      </x:c>
      <x:c r="H93" s="42" t="n">
        <x:v>412762304471</x:v>
      </x:c>
      <x:c r="I93" s="42" t="n">
        <x:v>415363856755</x:v>
      </x:c>
      <x:c r="J93" s="42" t="n">
        <x:f>SUM(F93:I93)</x:f>
        <x:v>1586430795630</x:v>
      </x:c>
      <x:c r="K93" s="42" t="n">
        <x:v>30832319838</x:v>
      </x:c>
      <x:c r="L93" s="42" t="n">
        <x:v>35839760970</x:v>
      </x:c>
      <x:c r="M93" s="42" t="n">
        <x:v>26024503545</x:v>
      </x:c>
      <x:c r="N93" s="42" t="n">
        <x:v>6764961762</x:v>
      </x:c>
      <x:c r="O93" s="42" t="n">
        <x:f>SUM(K93:N93)</x:f>
        <x:v>99461546115</x:v>
      </x:c>
      <x:c r="P93" s="45" t="n">
        <x:f>IFERROR(O93/J93,0)</x:f>
        <x:v>0.0626951685437385</x:v>
      </x:c>
    </x:row>
    <x:row r="94">
      <x:c r="A94" s="33" t="n">
        <x:v>90</x:v>
      </x:c>
      <x:c r="B94" s="30" t="str">
        <x:v>한전KPS</x:v>
      </x:c>
      <x:c r="C94" s="36" t="n">
        <x:v>159218</x:v>
      </x:c>
      <x:c r="D94" s="39" t="n">
        <x:v>51600</x:v>
      </x:c>
      <x:c r="E94" s="33" t="str">
        <x:v>CFS</x:v>
      </x:c>
      <x:c r="F94" s="42" t="n">
        <x:v>342849081306</x:v>
      </x:c>
      <x:c r="G94" s="42" t="n">
        <x:v>428591733915</x:v>
      </x:c>
      <x:c r="H94" s="42" t="n">
        <x:v>354439693872</x:v>
      </x:c>
      <x:c r="I94" s="42" t="n">
        <x:v>431205299440</x:v>
      </x:c>
      <x:c r="J94" s="42" t="n">
        <x:f>SUM(F94:I94)</x:f>
        <x:v>1557085808533</x:v>
      </x:c>
      <x:c r="K94" s="42" t="n">
        <x:v>52241561966</x:v>
      </x:c>
      <x:c r="L94" s="42" t="n">
        <x:v>74395341216</x:v>
      </x:c>
      <x:c r="M94" s="42" t="n">
        <x:v>41986551988</x:v>
      </x:c>
      <x:c r="N94" s="42" t="n">
        <x:v>40875190598</x:v>
      </x:c>
      <x:c r="O94" s="42" t="n">
        <x:f>SUM(K94:N94)</x:f>
        <x:v>209498645768</x:v>
      </x:c>
      <x:c r="P94" s="45" t="n">
        <x:f>IFERROR(O94/J94,0)</x:f>
        <x:v>0.13454534401374965</x:v>
      </x:c>
    </x:row>
    <x:row r="95">
      <x:c r="A95" s="33" t="n">
        <x:v>91</x:v>
      </x:c>
      <x:c r="B95" s="30" t="str">
        <x:v>한미약품</x:v>
      </x:c>
      <x:c r="C95" s="36" t="n">
        <x:v>828497</x:v>
      </x:c>
      <x:c r="D95" s="39" t="n">
        <x:v>128940</x:v>
      </x:c>
      <x:c r="E95" s="33" t="str">
        <x:v>CFS</x:v>
      </x:c>
      <x:c r="F95" s="42" t="n">
        <x:v>403684407858</x:v>
      </x:c>
      <x:c r="G95" s="42" t="n">
        <x:v>378132765603</x:v>
      </x:c>
      <x:c r="H95" s="42" t="n">
        <x:v>362077312412</x:v>
      </x:c>
      <x:c r="I95" s="42" t="n">
        <x:v>351607089695</x:v>
      </x:c>
      <x:c r="J95" s="42" t="n">
        <x:f>SUM(F95:I95)</x:f>
        <x:v>1495501575568</x:v>
      </x:c>
      <x:c r="K95" s="42" t="n">
        <x:v>76645456353</x:v>
      </x:c>
      <x:c r="L95" s="42" t="n">
        <x:v>58109013554</x:v>
      </x:c>
      <x:c r="M95" s="42" t="n">
        <x:v>50976071301</x:v>
      </x:c>
      <x:c r="N95" s="42" t="n">
        <x:v>30455646798</x:v>
      </x:c>
      <x:c r="O95" s="42" t="n">
        <x:f>SUM(K95:N95)</x:f>
        <x:v>216186188006</x:v>
      </x:c>
      <x:c r="P95" s="45" t="n">
        <x:f>IFERROR(O95/J95,0)</x:f>
        <x:v>0.14455764643637453</x:v>
      </x:c>
    </x:row>
    <x:row r="96">
      <x:c r="A96" s="33" t="n">
        <x:v>92</x:v>
      </x:c>
      <x:c r="B96" s="30" t="str">
        <x:v>대웅제약</x:v>
      </x:c>
      <x:c r="C96" s="36" t="n">
        <x:v>427483</x:v>
      </x:c>
      <x:c r="D96" s="39" t="n">
        <x:v>69620</x:v>
      </x:c>
      <x:c r="E96" s="33" t="str">
        <x:v>CFS</x:v>
      </x:c>
      <x:c r="F96" s="42" t="n">
        <x:v>335785146505</x:v>
      </x:c>
      <x:c r="G96" s="42" t="n">
        <x:v>360544556084</x:v>
      </x:c>
      <x:c r="H96" s="42" t="n">
        <x:v>358473430484</x:v>
      </x:c>
      <x:c r="I96" s="42" t="n">
        <x:v>367880163307</x:v>
      </x:c>
      <x:c r="J96" s="42" t="n">
        <x:f>SUM(F96:I96)</x:f>
        <x:v>1422683296380</x:v>
      </x:c>
      <x:c r="K96" s="42" t="n">
        <x:v>29660932796</x:v>
      </x:c>
      <x:c r="L96" s="42" t="n">
        <x:v>42313143847</x:v>
      </x:c>
      <x:c r="M96" s="42" t="n">
        <x:v>37275380416</x:v>
      </x:c>
      <x:c r="N96" s="42" t="n">
        <x:v>38692741418</x:v>
      </x:c>
      <x:c r="O96" s="42" t="n">
        <x:f>SUM(K96:N96)</x:f>
        <x:v>147942198477</x:v>
      </x:c>
      <x:c r="P96" s="45" t="n">
        <x:f>IFERROR(O96/J96,0)</x:f>
        <x:v>0.103988146099302</x:v>
      </x:c>
    </x:row>
    <x:row r="97">
      <x:c r="A97" s="33" t="n">
        <x:v>93</x:v>
      </x:c>
      <x:c r="B97" s="30" t="str">
        <x:v>한진칼</x:v>
      </x:c>
      <x:c r="C97" s="36" t="n">
        <x:v>983040</x:v>
      </x:c>
      <x:c r="D97" s="39" t="n">
        <x:v>180640</x:v>
      </x:c>
      <x:c r="E97" s="33" t="str">
        <x:v>CFS</x:v>
      </x:c>
      <x:c r="F97" s="42" t="n">
        <x:v>69758193417</x:v>
      </x:c>
      <x:c r="G97" s="42" t="n">
        <x:v>70222677964</x:v>
      </x:c>
      <x:c r="H97" s="42" t="n">
        <x:v>81577444000</x:v>
      </x:c>
      <x:c r="I97" s="42" t="n">
        <x:v>70599027000</x:v>
      </x:c>
      <x:c r="J97" s="42" t="n">
        <x:f>SUM(F97:I97)</x:f>
        <x:v>292157342381</x:v>
      </x:c>
      <x:c r="K97" s="42" t="n">
        <x:v>12868524024</x:v>
      </x:c>
      <x:c r="L97" s="42" t="n">
        <x:v>14515436181</x:v>
      </x:c>
      <x:c r="M97" s="42" t="n">
        <x:v>13890748000</x:v>
      </x:c>
      <x:c r="N97" s="42" t="n">
        <x:v>7918034000</x:v>
      </x:c>
      <x:c r="O97" s="42" t="n">
        <x:f>SUM(K97:N97)</x:f>
        <x:v>49192742205</x:v>
      </x:c>
      <x:c r="P97" s="45" t="n">
        <x:f>IFERROR(O97/J97,0)</x:f>
        <x:v>0.1683775660200528</x:v>
      </x:c>
    </x:row>
    <x:row r="98">
      <x:c r="A98" s="34" t="n">
        <x:v>94</x:v>
      </x:c>
      <x:c r="B98" s="31" t="str">
        <x:v>두산밥캣</x:v>
      </x:c>
      <x:c r="C98" s="37" t="n">
        <x:v>1032486</x:v>
      </x:c>
      <x:c r="D98" s="40" t="n">
        <x:v>241560</x:v>
      </x:c>
      <x:c r="E98" s="34" t="str">
        <x:v>CFS</x:v>
      </x:c>
      <x:c r="F98" s="43" t="n">
        <x:v>1802536337</x:v>
      </x:c>
      <x:c r="G98" s="43" t="n">
        <x:v>1629269502</x:v>
      </x:c>
      <x:c r="H98" s="43" t="n">
        <x:v>1305541887</x:v>
      </x:c>
      <x:c r="I98" s="43" t="n">
        <x:v>1531957274</x:v>
      </x:c>
      <x:c r="J98" s="43" t="n">
        <x:f>SUM(F98:I98)</x:f>
        <x:v>6269305000</x:v>
      </x:c>
      <x:c r="K98" s="43" t="n">
        <x:v>245375785</x:v>
      </x:c>
      <x:c r="L98" s="43" t="n">
        <x:v>173676282</x:v>
      </x:c>
      <x:c r="M98" s="43" t="n">
        <x:v>91880741</x:v>
      </x:c>
      <x:c r="N98" s="43" t="n">
        <x:v>127934192</x:v>
      </x:c>
      <x:c r="O98" s="43" t="n">
        <x:f>SUM(K98:N98)</x:f>
        <x:v>638867000</x:v>
      </x:c>
      <x:c r="P98" s="46" t="n">
        <x:f>IFERROR(O98/J98,0)</x:f>
        <x:v>0.1019039590512824</x:v>
      </x:c>
    </x:row>
    <x:row r="100" ht="24" customHeight="1">
      <x:c r="A100" s="48" t="str">
        <x:v>합계</x:v>
      </x:c>
      <x:c r="B100" s="48"/>
      <x:c r="C100" s="48"/>
      <x:c r="D100" s="48"/>
      <x:c r="E100" s="48"/>
      <x:c r="F100" s="49" t="n">
        <x:f>SUM(F5:F98)</x:f>
        <x:v>496248378551467</x:v>
      </x:c>
      <x:c r="G100" s="49" t="n">
        <x:f>SUM(G5:G98)</x:f>
        <x:v>516022413244552</x:v>
      </x:c>
      <x:c r="H100" s="49" t="n">
        <x:f>SUM(H5:H98)</x:f>
        <x:v>520234429406395</x:v>
      </x:c>
      <x:c r="I100" s="49" t="n">
        <x:f>SUM(I5:I98)</x:f>
        <x:v>540391515279673</x:v>
      </x:c>
      <x:c r="J100" s="49" t="n">
        <x:f>SUM(J5:J98)</x:f>
        <x:v>2072896736482087</x:v>
      </x:c>
      <x:c r="K100" s="49" t="n">
        <x:f>SUM(K5:K98)</x:f>
        <x:v>32993069952019</x:v>
      </x:c>
      <x:c r="L100" s="49" t="n">
        <x:f>SUM(L5:L98)</x:f>
        <x:v>41965932180604</x:v>
      </x:c>
      <x:c r="M100" s="49" t="n">
        <x:f>SUM(M5:M98)</x:f>
        <x:v>41615003460191</x:v>
      </x:c>
      <x:c r="N100" s="49" t="n">
        <x:f>SUM(N5:N98)</x:f>
        <x:v>34410214914766</x:v>
      </x:c>
      <x:c r="O100" s="49" t="n">
        <x:f>SUM(O5:O98)</x:f>
        <x:v>150984220507580</x:v>
      </x:c>
      <x:c r="P100" s="50" t="n">
        <x:f>IFERROR(O100/J100,0)</x:f>
        <x:v>0.07283730918686057</x:v>
      </x:c>
    </x:row>
  </x:sheetData>
  <x:mergeCells>
    <x:mergeCell ref="A1:P1"/>
    <x:mergeCell ref="A2:P2"/>
    <x:mergeCell ref="A3:P3"/>
    <x:mergeCell ref="A100:E100"/>
  </x:mergeCells>
  <x:pageMargins left="0.7" right="0.7" top="0.75" bottom="0.75" header="0.3" footer="0.3"/>
  <x:tableParts count="1">
    <x:tablePart xmlns:r="http://schemas.openxmlformats.org/officeDocument/2006/relationships" r:id="Re472477b1c0f41fa"/>
  </x:tableParts>
</x:worksheet>
</file>