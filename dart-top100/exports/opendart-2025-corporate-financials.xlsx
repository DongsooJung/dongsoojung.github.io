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98dde5b7c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업 실적" sheetId="1" r:id="Rd001afc0c0cc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00"/>
    <x:numFmt numFmtId="201" formatCode="000000"/>
    <x:numFmt numFmtId="202" formatCode="#,##0;[Red](#,##0);-"/>
    <x:numFmt numFmtId="203" formatCode="0.0%;[Red](0.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</x:fills>
  <x:borders count="8">
    <x:border/>
    <x:border>
      <x:right style="thin">
        <x:color rgb="FF93C5FD"/>
      </x:right>
    </x:border>
    <x:border>
      <x:left style="thin">
        <x:color rgb="FF93C5FD"/>
      </x:left>
      <x:right style="thin">
        <x:color rgb="FF93C5FD"/>
      </x:right>
    </x:border>
    <x:border>
      <x:left style="thin">
        <x:color rgb="FF93C5FD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double">
        <x:color rgb="FF1D4ED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vertical="center"/>
    </x:xf>
    <x:xf numFmtId="202" fontId="2" fillId="3" borderId="7" xfId="0" applyNumberFormat="1" applyFont="1" applyFill="1" applyBorder="1" applyAlignment="1">
      <x:alignment vertical="center"/>
    </x:xf>
    <x:xf numFmtId="203" fontId="2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cb463313c47a1" /><Relationship Type="http://schemas.openxmlformats.org/officeDocument/2006/relationships/theme" Target="/xl/theme/theme1.xml" Id="Rb27002c7721446f4" /><Relationship Type="http://schemas.openxmlformats.org/officeDocument/2006/relationships/sharedStrings" Target="/xl/sharedStrings.xml" Id="Rea07ba283a624184" /><Relationship Type="http://schemas.openxmlformats.org/officeDocument/2006/relationships/worksheet" Target="/xl/worksheets/sheet1.xml" Id="Rd001afc0c0cc4690" /></Relationships>
</file>

<file path=xl/tables/table1.xml><?xml version="1.0" encoding="utf-8"?>
<x:table xmlns:x="http://schemas.openxmlformats.org/spreadsheetml/2006/main" id="1" name="OpenDart2025" displayName="OpenDart2025" ref="A4:P98" headerRowCount="1" totalsRowCount="0" totalsRowShown="0">
  <x:autoFilter ref="A4:P98"/>
  <x:tableColumns count="16">
    <x:tableColumn id="1" name="순위"/>
    <x:tableColumn id="2" name="기업명"/>
    <x:tableColumn id="3" name="법인코드"/>
    <x:tableColumn id="4" name="종목코드"/>
    <x:tableColumn id="5" name="재무제표"/>
    <x:tableColumn id="6" name="매출 1분기"/>
    <x:tableColumn id="7" name="매출 2분기"/>
    <x:tableColumn id="8" name="매출 3분기"/>
    <x:tableColumn id="9" name="매출 4분기"/>
    <x:tableColumn id="10" name="매출 누적/연간"/>
    <x:tableColumn id="11" name="영업이익 1분기"/>
    <x:tableColumn id="12" name="영업이익 2분기"/>
    <x:tableColumn id="13" name="영업이익 3분기"/>
    <x:tableColumn id="14" name="영업이익 4분기"/>
    <x:tableColumn id="15" name="영업이익 누적/연간"/>
    <x:tableColumn id="16" name="영업이익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068f707d4f47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</x:cols>
  <x:sheetData>
    <x:row r="1" ht="30" customHeight="1">
      <x:c r="A1" s="3" t="str">
        <x:v>2025년 OpenDART 기업 분기별 매출액·영업이익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6" t="str">
        <x:v>공시분기: 1분기·2분기·3분기·4분기 | 기업 수: 94개 | 생성: 2026. 7. 26. AM 9:06:24 | 단위: 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6" customHeight="1">
      <x:c r="A3" s="10" t="str">
        <x:v>출처: https://opendart.fss.or.kr/ | OpenDART 정기보고서 기준. 연결재무제표 우선, 미제공 시 별도재무제표를 사용하며 분기 수치는 누적 금액을 검증·차감해 계산했습니다.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 ht="30" customHeight="1">
      <x:c r="A4" s="22" t="str">
        <x:v>순위</x:v>
      </x:c>
      <x:c r="B4" s="23" t="str">
        <x:v>기업명</x:v>
      </x:c>
      <x:c r="C4" s="23" t="str">
        <x:v>법인코드</x:v>
      </x:c>
      <x:c r="D4" s="23" t="str">
        <x:v>종목코드</x:v>
      </x:c>
      <x:c r="E4" s="23" t="str">
        <x:v>재무제표</x:v>
      </x:c>
      <x:c r="F4" s="23" t="str">
        <x:v>매출 1분기</x:v>
      </x:c>
      <x:c r="G4" s="23" t="str">
        <x:v>매출 2분기</x:v>
      </x:c>
      <x:c r="H4" s="23" t="str">
        <x:v>매출 3분기</x:v>
      </x:c>
      <x:c r="I4" s="23" t="str">
        <x:v>매출 4분기</x:v>
      </x:c>
      <x:c r="J4" s="23" t="str">
        <x:v>매출 누적/연간</x:v>
      </x:c>
      <x:c r="K4" s="23" t="str">
        <x:v>영업이익 1분기</x:v>
      </x:c>
      <x:c r="L4" s="23" t="str">
        <x:v>영업이익 2분기</x:v>
      </x:c>
      <x:c r="M4" s="23" t="str">
        <x:v>영업이익 3분기</x:v>
      </x:c>
      <x:c r="N4" s="23" t="str">
        <x:v>영업이익 4분기</x:v>
      </x:c>
      <x:c r="O4" s="23" t="str">
        <x:v>영업이익 누적/연간</x:v>
      </x:c>
      <x:c r="P4" s="24" t="str">
        <x:v>영업이익률</x:v>
      </x:c>
    </x:row>
    <x:row r="5">
      <x:c r="A5" s="32" t="n">
        <x:v>1</x:v>
      </x:c>
      <x:c r="B5" s="29" t="str">
        <x:v>삼성전자</x:v>
      </x:c>
      <x:c r="C5" s="35" t="n">
        <x:v>126380</x:v>
      </x:c>
      <x:c r="D5" s="38" t="n">
        <x:v>5930</x:v>
      </x:c>
      <x:c r="E5" s="32" t="str">
        <x:v>CFS</x:v>
      </x:c>
      <x:c r="F5" s="41" t="n">
        <x:v>79140503000000</x:v>
      </x:c>
      <x:c r="G5" s="41" t="n">
        <x:v>74566317000000</x:v>
      </x:c>
      <x:c r="H5" s="41" t="n">
        <x:v>86061747000000</x:v>
      </x:c>
      <x:c r="I5" s="41" t="n">
        <x:v>93837371000000</x:v>
      </x:c>
      <x:c r="J5" s="41" t="n">
        <x:f>SUM(F5:I5)</x:f>
        <x:v>333605938000000</x:v>
      </x:c>
      <x:c r="K5" s="41" t="n">
        <x:v>6685272000000</x:v>
      </x:c>
      <x:c r="L5" s="41" t="n">
        <x:v>4676057000000</x:v>
      </x:c>
      <x:c r="M5" s="41" t="n">
        <x:v>12166062000000</x:v>
      </x:c>
      <x:c r="N5" s="41" t="n">
        <x:v>20073660000000</x:v>
      </x:c>
      <x:c r="O5" s="41" t="n">
        <x:f>SUM(K5:N5)</x:f>
        <x:v>43601051000000</x:v>
      </x:c>
      <x:c r="P5" s="44" t="n">
        <x:f>IFERROR(O5/J5,0)</x:f>
        <x:v>0.1306962677624761</x:v>
      </x:c>
    </x:row>
    <x:row r="6">
      <x:c r="A6" s="33" t="n">
        <x:v>2</x:v>
      </x:c>
      <x:c r="B6" s="30" t="str">
        <x:v>현대자동차</x:v>
      </x:c>
      <x:c r="C6" s="36" t="n">
        <x:v>164742</x:v>
      </x:c>
      <x:c r="D6" s="39" t="n">
        <x:v>5380</x:v>
      </x:c>
      <x:c r="E6" s="33" t="str">
        <x:v>CFS</x:v>
      </x:c>
      <x:c r="F6" s="42" t="n">
        <x:v>44407761000000</x:v>
      </x:c>
      <x:c r="G6" s="42" t="n">
        <x:v>48286677000000</x:v>
      </x:c>
      <x:c r="H6" s="42" t="n">
        <x:v>46721448000000</x:v>
      </x:c>
      <x:c r="I6" s="42" t="n">
        <x:v>46838586000000</x:v>
      </x:c>
      <x:c r="J6" s="42" t="n">
        <x:f>SUM(F6:I6)</x:f>
        <x:v>186254472000000</x:v>
      </x:c>
      <x:c r="K6" s="42" t="n">
        <x:v>3633609000000</x:v>
      </x:c>
      <x:c r="L6" s="42" t="n">
        <x:v>3601597000000</x:v>
      </x:c>
      <x:c r="M6" s="42" t="n">
        <x:v>2537266000000</x:v>
      </x:c>
      <x:c r="N6" s="42" t="n">
        <x:v>1695379000000</x:v>
      </x:c>
      <x:c r="O6" s="42" t="n">
        <x:f>SUM(K6:N6)</x:f>
        <x:v>11467851000000</x:v>
      </x:c>
      <x:c r="P6" s="45" t="n">
        <x:f>IFERROR(O6/J6,0)</x:f>
        <x:v>0.061570876000228335</x:v>
      </x:c>
    </x:row>
    <x:row r="7">
      <x:c r="A7" s="33" t="n">
        <x:v>3</x:v>
      </x:c>
      <x:c r="B7" s="30" t="str">
        <x:v>기아</x:v>
      </x:c>
      <x:c r="C7" s="36" t="n">
        <x:v>106641</x:v>
      </x:c>
      <x:c r="D7" s="39" t="n">
        <x:v>270</x:v>
      </x:c>
      <x:c r="E7" s="33" t="str">
        <x:v>CFS</x:v>
      </x:c>
      <x:c r="F7" s="42" t="n">
        <x:v>28017510000000</x:v>
      </x:c>
      <x:c r="G7" s="42" t="n">
        <x:v>29349635000000</x:v>
      </x:c>
      <x:c r="H7" s="42" t="n">
        <x:v>28686037000000</x:v>
      </x:c>
      <x:c r="I7" s="42" t="n">
        <x:v>28087737000000</x:v>
      </x:c>
      <x:c r="J7" s="42" t="n">
        <x:f>SUM(F7:I7)</x:f>
        <x:v>114140919000000</x:v>
      </x:c>
      <x:c r="K7" s="42" t="n">
        <x:v>3008588000000</x:v>
      </x:c>
      <x:c r="L7" s="42" t="n">
        <x:v>2764766000000</x:v>
      </x:c>
      <x:c r="M7" s="42" t="n">
        <x:v>1462251000000</x:v>
      </x:c>
      <x:c r="N7" s="42" t="n">
        <x:v>1842543000000</x:v>
      </x:c>
      <x:c r="O7" s="42" t="n">
        <x:f>SUM(K7:N7)</x:f>
        <x:v>9078148000000</x:v>
      </x:c>
      <x:c r="P7" s="45" t="n">
        <x:f>IFERROR(O7/J7,0)</x:f>
        <x:v>0.07953456200926505</x:v>
      </x:c>
    </x:row>
    <x:row r="8">
      <x:c r="A8" s="33" t="n">
        <x:v>4</x:v>
      </x:c>
      <x:c r="B8" s="30" t="str">
        <x:v>한국전력공사</x:v>
      </x:c>
      <x:c r="C8" s="36" t="n">
        <x:v>159193</x:v>
      </x:c>
      <x:c r="D8" s="39" t="n">
        <x:v>15760</x:v>
      </x:c>
      <x:c r="E8" s="33" t="str">
        <x:v>CFS</x:v>
      </x:c>
      <x:c r="F8" s="42" t="n">
        <x:v>24223984000000</x:v>
      </x:c>
      <x:c r="G8" s="42" t="n">
        <x:v>21950138000000</x:v>
      </x:c>
      <x:c r="H8" s="42" t="n">
        <x:v>27572384000000</x:v>
      </x:c>
      <x:c r="I8" s="42" t="n">
        <x:v>23682840000000</x:v>
      </x:c>
      <x:c r="J8" s="42" t="n">
        <x:f>SUM(F8:I8)</x:f>
        <x:v>97429346000000</x:v>
      </x:c>
      <x:c r="K8" s="42" t="n">
        <x:v>3753607000000</x:v>
      </x:c>
      <x:c r="L8" s="42" t="n">
        <x:v>2135872000000</x:v>
      </x:c>
      <x:c r="M8" s="42" t="n">
        <x:v>5651912000000</x:v>
      </x:c>
      <x:c r="N8" s="42" t="n">
        <x:v>1949166000000</x:v>
      </x:c>
      <x:c r="O8" s="42" t="n">
        <x:f>SUM(K8:N8)</x:f>
        <x:v>13490557000000</x:v>
      </x:c>
      <x:c r="P8" s="45" t="n">
        <x:f>IFERROR(O8/J8,0)</x:f>
        <x:v>0.13846502674871697</x:v>
      </x:c>
    </x:row>
    <x:row r="9">
      <x:c r="A9" s="33" t="n">
        <x:v>5</x:v>
      </x:c>
      <x:c r="B9" s="30" t="str">
        <x:v>SK하이닉스</x:v>
      </x:c>
      <x:c r="C9" s="36" t="n">
        <x:v>164779</x:v>
      </x:c>
      <x:c r="D9" s="39" t="n">
        <x:v>660</x:v>
      </x:c>
      <x:c r="E9" s="33" t="str">
        <x:v>CFS</x:v>
      </x:c>
      <x:c r="F9" s="42" t="n">
        <x:v>17639141000000</x:v>
      </x:c>
      <x:c r="G9" s="42" t="n">
        <x:v>22231952000000</x:v>
      </x:c>
      <x:c r="H9" s="42" t="n">
        <x:v>24448929000000</x:v>
      </x:c>
      <x:c r="I9" s="42" t="n">
        <x:v>32826653000000</x:v>
      </x:c>
      <x:c r="J9" s="42" t="n">
        <x:f>SUM(F9:I9)</x:f>
        <x:v>97146675000000</x:v>
      </x:c>
      <x:c r="K9" s="42" t="n">
        <x:v>7440504000000</x:v>
      </x:c>
      <x:c r="L9" s="42" t="n">
        <x:v>9212851000000</x:v>
      </x:c>
      <x:c r="M9" s="42" t="n">
        <x:v>11383390000000</x:v>
      </x:c>
      <x:c r="N9" s="42" t="n">
        <x:v>19169574000000</x:v>
      </x:c>
      <x:c r="O9" s="42" t="n">
        <x:f>SUM(K9:N9)</x:f>
        <x:v>47206319000000</x:v>
      </x:c>
      <x:c r="P9" s="45" t="n">
        <x:f>IFERROR(O9/J9,0)</x:f>
        <x:v>0.4859283037736495</x:v>
      </x:c>
    </x:row>
    <x:row r="10">
      <x:c r="A10" s="33" t="n">
        <x:v>6</x:v>
      </x:c>
      <x:c r="B10" s="30" t="str">
        <x:v>LG전자</x:v>
      </x:c>
      <x:c r="C10" s="36" t="n">
        <x:v>401731</x:v>
      </x:c>
      <x:c r="D10" s="39" t="n">
        <x:v>66570</x:v>
      </x:c>
      <x:c r="E10" s="33" t="str">
        <x:v>CFS</x:v>
      </x:c>
      <x:c r="F10" s="42" t="n">
        <x:v>22739812000000</x:v>
      </x:c>
      <x:c r="G10" s="42" t="n">
        <x:v>20735142000000</x:v>
      </x:c>
      <x:c r="H10" s="42" t="n">
        <x:v>21873774000000</x:v>
      </x:c>
      <x:c r="I10" s="42" t="n">
        <x:v>23852154000000</x:v>
      </x:c>
      <x:c r="J10" s="42" t="n">
        <x:f>SUM(F10:I10)</x:f>
        <x:v>89200882000000</x:v>
      </x:c>
      <x:c r="K10" s="42" t="n">
        <x:v>1259059000000</x:v>
      </x:c>
      <x:c r="L10" s="42" t="n">
        <x:v>639404000000</x:v>
      </x:c>
      <x:c r="M10" s="42" t="n">
        <x:v>688918000000</x:v>
      </x:c>
      <x:c r="N10" s="42" t="n">
        <x:v>-108989000000</x:v>
      </x:c>
      <x:c r="O10" s="42" t="n">
        <x:f>SUM(K10:N10)</x:f>
        <x:v>2478392000000</x:v>
      </x:c>
      <x:c r="P10" s="45" t="n">
        <x:f>IFERROR(O10/J10,0)</x:f>
        <x:v>0.027784388948082373</x:v>
      </x:c>
    </x:row>
    <x:row r="11">
      <x:c r="A11" s="33" t="n">
        <x:v>7</x:v>
      </x:c>
      <x:c r="B11" s="30" t="str">
        <x:v>SK이노베이션</x:v>
      </x:c>
      <x:c r="C11" s="36" t="n">
        <x:v>631518</x:v>
      </x:c>
      <x:c r="D11" s="39" t="n">
        <x:v>96770</x:v>
      </x:c>
      <x:c r="E11" s="33" t="str">
        <x:v>CFS</x:v>
      </x:c>
      <x:c r="F11" s="42" t="n">
        <x:v>21146551799000</x:v>
      </x:c>
      <x:c r="G11" s="42" t="n">
        <x:v>19306626093000</x:v>
      </x:c>
      <x:c r="H11" s="42" t="n">
        <x:v>20533220238000</x:v>
      </x:c>
      <x:c r="I11" s="42" t="n">
        <x:v>19309656113000</x:v>
      </x:c>
      <x:c r="J11" s="42" t="n">
        <x:f>SUM(F11:I11)</x:f>
        <x:v>80296054243000</x:v>
      </x:c>
      <x:c r="K11" s="42" t="n">
        <x:v>-44638745000</x:v>
      </x:c>
      <x:c r="L11" s="42" t="n">
        <x:v>-417568625000</x:v>
      </x:c>
      <x:c r="M11" s="42" t="n">
        <x:v>573474628000</x:v>
      </x:c>
      <x:c r="N11" s="42" t="n">
        <x:v>337416601000</x:v>
      </x:c>
      <x:c r="O11" s="42" t="n">
        <x:f>SUM(K11:N11)</x:f>
        <x:v>448683859000</x:v>
      </x:c>
      <x:c r="P11" s="45" t="n">
        <x:f>IFERROR(O11/J11,0)</x:f>
        <x:v>0.00558786933218596</x:v>
      </x:c>
    </x:row>
    <x:row r="12">
      <x:c r="A12" s="33" t="n">
        <x:v>8</x:v>
      </x:c>
      <x:c r="B12" s="30" t="str">
        <x:v>한화</x:v>
      </x:c>
      <x:c r="C12" s="36" t="n">
        <x:v>160588</x:v>
      </x:c>
      <x:c r="D12" s="39" t="n">
        <x:v>880</x:v>
      </x:c>
      <x:c r="E12" s="33" t="str">
        <x:v>CFS</x:v>
      </x:c>
      <x:c r="F12" s="42" t="n">
        <x:v>16642591000000</x:v>
      </x:c>
      <x:c r="G12" s="42" t="n">
        <x:v>19242236000000</x:v>
      </x:c>
      <x:c r="H12" s="42" t="n">
        <x:v>17786617000000</x:v>
      </x:c>
      <x:c r="I12" s="42" t="n">
        <x:v>21113996000000</x:v>
      </x:c>
      <x:c r="J12" s="42" t="n">
        <x:f>SUM(F12:I12)</x:f>
        <x:v>74785440000000</x:v>
      </x:c>
      <x:c r="K12" s="42" t="n">
        <x:v>1072563000000</x:v>
      </x:c>
      <x:c r="L12" s="42" t="n">
        <x:v>1334841000000</x:v>
      </x:c>
      <x:c r="M12" s="42" t="n">
        <x:v>1344206000000</x:v>
      </x:c>
      <x:c r="N12" s="42" t="n">
        <x:v>395273000000</x:v>
      </x:c>
      <x:c r="O12" s="42" t="n">
        <x:f>SUM(K12:N12)</x:f>
        <x:v>4146883000000</x:v>
      </x:c>
      <x:c r="P12" s="45" t="n">
        <x:f>IFERROR(O12/J12,0)</x:f>
        <x:v>0.055450405854401606</x:v>
      </x:c>
    </x:row>
    <x:row r="13">
      <x:c r="A13" s="33" t="n">
        <x:v>9</x:v>
      </x:c>
      <x:c r="B13" s="30" t="str">
        <x:v>HD현대</x:v>
      </x:c>
      <x:c r="C13" s="36" t="n">
        <x:v>1205709</x:v>
      </x:c>
      <x:c r="D13" s="39" t="n">
        <x:v>267250</x:v>
      </x:c>
      <x:c r="E13" s="33" t="str">
        <x:v>CFS</x:v>
      </x:c>
      <x:c r="F13" s="42" t="n">
        <x:v>17086949449000</x:v>
      </x:c>
      <x:c r="G13" s="42" t="n">
        <x:v>17211008448000</x:v>
      </x:c>
      <x:c r="H13" s="42" t="n">
        <x:v>18224352744000</x:v>
      </x:c>
      <x:c r="I13" s="42" t="n">
        <x:v>18737127628000</x:v>
      </x:c>
      <x:c r="J13" s="42" t="n">
        <x:f>SUM(F13:I13)</x:f>
        <x:v>71259438269000</x:v>
      </x:c>
      <x:c r="K13" s="42" t="n">
        <x:v>1286396862000</x:v>
      </x:c>
      <x:c r="L13" s="42" t="n">
        <x:v>1138886949000</x:v>
      </x:c>
      <x:c r="M13" s="42" t="n">
        <x:v>1702387189000</x:v>
      </x:c>
      <x:c r="N13" s="42" t="n">
        <x:v>1971965252000</x:v>
      </x:c>
      <x:c r="O13" s="42" t="n">
        <x:f>SUM(K13:N13)</x:f>
        <x:v>6099636252000</x:v>
      </x:c>
      <x:c r="P13" s="45" t="n">
        <x:f>IFERROR(O13/J13,0)</x:f>
        <x:v>0.08559759100225078</x:v>
      </x:c>
    </x:row>
    <x:row r="14">
      <x:c r="A14" s="33" t="n">
        <x:v>10</x:v>
      </x:c>
      <x:c r="B14" s="30" t="str">
        <x:v>포스코홀딩스</x:v>
      </x:c>
      <x:c r="C14" s="36" t="n">
        <x:v>155319</x:v>
      </x:c>
      <x:c r="D14" s="39" t="n">
        <x:v>5490</x:v>
      </x:c>
      <x:c r="E14" s="33" t="str">
        <x:v>CFS</x:v>
      </x:c>
      <x:c r="F14" s="42" t="n">
        <x:v>17436775980004</x:v>
      </x:c>
      <x:c r="G14" s="42" t="n">
        <x:v>17555587387894</x:v>
      </x:c>
      <x:c r="H14" s="42" t="n">
        <x:v>17261041337141</x:v>
      </x:c>
      <x:c r="I14" s="42" t="n">
        <x:v>16841481487748</x:v>
      </x:c>
      <x:c r="J14" s="42" t="n">
        <x:f>SUM(F14:I14)</x:f>
        <x:v>69094886192787</x:v>
      </x:c>
      <x:c r="K14" s="42" t="n">
        <x:v>568441042504</x:v>
      </x:c>
      <x:c r="L14" s="42" t="n">
        <x:v>607172109226</x:v>
      </x:c>
      <x:c r="M14" s="42" t="n">
        <x:v>638766533961</x:v>
      </x:c>
      <x:c r="N14" s="42" t="n">
        <x:v>12683525138</x:v>
      </x:c>
      <x:c r="O14" s="42" t="n">
        <x:f>SUM(K14:N14)</x:f>
        <x:v>1827063210829</x:v>
      </x:c>
      <x:c r="P14" s="45" t="n">
        <x:f>IFERROR(O14/J14,0)</x:f>
        <x:v>0.026442813810144634</x:v>
      </x:c>
    </x:row>
    <x:row r="15">
      <x:c r="A15" s="33" t="n">
        <x:v>11</x:v>
      </x:c>
      <x:c r="B15" s="30" t="str">
        <x:v>현대모비스</x:v>
      </x:c>
      <x:c r="C15" s="36" t="n">
        <x:v>164788</x:v>
      </x:c>
      <x:c r="D15" s="39" t="n">
        <x:v>12330</x:v>
      </x:c>
      <x:c r="E15" s="33" t="str">
        <x:v>CFS</x:v>
      </x:c>
      <x:c r="F15" s="42" t="n">
        <x:v>14752034000000</x:v>
      </x:c>
      <x:c r="G15" s="42" t="n">
        <x:v>15936241000000</x:v>
      </x:c>
      <x:c r="H15" s="42" t="n">
        <x:v>15031932000000</x:v>
      </x:c>
      <x:c r="I15" s="42" t="n">
        <x:v>15397920000000</x:v>
      </x:c>
      <x:c r="J15" s="42" t="n">
        <x:f>SUM(F15:I15)</x:f>
        <x:v>61118127000000</x:v>
      </x:c>
      <x:c r="K15" s="42" t="n">
        <x:v>776683000000</x:v>
      </x:c>
      <x:c r="L15" s="42" t="n">
        <x:v>870000000000</x:v>
      </x:c>
      <x:c r="M15" s="42" t="n">
        <x:v>780299000000</x:v>
      </x:c>
      <x:c r="N15" s="42" t="n">
        <x:v>930474000000</x:v>
      </x:c>
      <x:c r="O15" s="42" t="n">
        <x:f>SUM(K15:N15)</x:f>
        <x:v>3357456000000</x:v>
      </x:c>
      <x:c r="P15" s="45" t="n">
        <x:f>IFERROR(O15/J15,0)</x:f>
        <x:v>0.054933882381572326</x:v>
      </x:c>
    </x:row>
    <x:row r="16">
      <x:c r="A16" s="33" t="n">
        <x:v>12</x:v>
      </x:c>
      <x:c r="B16" s="30" t="str">
        <x:v>LG화학</x:v>
      </x:c>
      <x:c r="C16" s="36" t="n">
        <x:v>356361</x:v>
      </x:c>
      <x:c r="D16" s="39" t="n">
        <x:v>51910</x:v>
      </x:c>
      <x:c r="E16" s="33" t="str">
        <x:v>CFS</x:v>
      </x:c>
      <x:c r="F16" s="42" t="n">
        <x:v>12171015000000</x:v>
      </x:c>
      <x:c r="G16" s="42" t="n">
        <x:v>11417711000000</x:v>
      </x:c>
      <x:c r="H16" s="42" t="n">
        <x:v>11196170000000</x:v>
      </x:c>
      <x:c r="I16" s="42" t="n">
        <x:v>11197134000000</x:v>
      </x:c>
      <x:c r="J16" s="42" t="n">
        <x:f>SUM(F16:I16)</x:f>
        <x:v>45982030000000</x:v>
      </x:c>
      <x:c r="K16" s="42" t="n">
        <x:v>446971000000</x:v>
      </x:c>
      <x:c r="L16" s="42" t="n">
        <x:v>467479000000</x:v>
      </x:c>
      <x:c r="M16" s="42" t="n">
        <x:v>679715000000</x:v>
      </x:c>
      <x:c r="N16" s="42" t="n">
        <x:v>-413264000000</x:v>
      </x:c>
      <x:c r="O16" s="42" t="n">
        <x:f>SUM(K16:N16)</x:f>
        <x:v>1180901000000</x:v>
      </x:c>
      <x:c r="P16" s="45" t="n">
        <x:f>IFERROR(O16/J16,0)</x:f>
        <x:v>0.025681793518033024</x:v>
      </x:c>
    </x:row>
    <x:row r="17">
      <x:c r="A17" s="33" t="n">
        <x:v>13</x:v>
      </x:c>
      <x:c r="B17" s="30" t="str">
        <x:v>삼성물산</x:v>
      </x:c>
      <x:c r="C17" s="36" t="n">
        <x:v>149655</x:v>
      </x:c>
      <x:c r="D17" s="39" t="n">
        <x:v>28260</x:v>
      </x:c>
      <x:c r="E17" s="33" t="str">
        <x:v>CFS</x:v>
      </x:c>
      <x:c r="F17" s="42" t="n">
        <x:v>9736780907943</x:v>
      </x:c>
      <x:c r="G17" s="42" t="n">
        <x:v>10022075966797</x:v>
      </x:c>
      <x:c r="H17" s="42" t="n">
        <x:v>10150950935084</x:v>
      </x:c>
      <x:c r="I17" s="42" t="n">
        <x:v>10832433157325</x:v>
      </x:c>
      <x:c r="J17" s="42" t="n">
        <x:f>SUM(F17:I17)</x:f>
        <x:v>40742240967149</x:v>
      </x:c>
      <x:c r="K17" s="42" t="n">
        <x:v>724421037260</x:v>
      </x:c>
      <x:c r="L17" s="42" t="n">
        <x:v>752614345055</x:v>
      </x:c>
      <x:c r="M17" s="42" t="n">
        <x:v>993429496019</x:v>
      </x:c>
      <x:c r="N17" s="42" t="n">
        <x:v>822282617591</x:v>
      </x:c>
      <x:c r="O17" s="42" t="n">
        <x:f>SUM(K17:N17)</x:f>
        <x:v>3292747495925</x:v>
      </x:c>
      <x:c r="P17" s="45" t="n">
        <x:f>IFERROR(O17/J17,0)</x:f>
        <x:v>0.08081900793282297</x:v>
      </x:c>
    </x:row>
    <x:row r="18">
      <x:c r="A18" s="33" t="n">
        <x:v>14</x:v>
      </x:c>
      <x:c r="B18" s="30" t="str">
        <x:v>한국가스공사</x:v>
      </x:c>
      <x:c r="C18" s="36" t="n">
        <x:v>261285</x:v>
      </x:c>
      <x:c r="D18" s="39" t="n">
        <x:v>36460</x:v>
      </x:c>
      <x:c r="E18" s="33" t="str">
        <x:v>CFS</x:v>
      </x:c>
      <x:c r="F18" s="42" t="n">
        <x:v>12732709000000</x:v>
      </x:c>
      <x:c r="G18" s="42" t="n">
        <x:v>7630102000000</x:v>
      </x:c>
      <x:c r="H18" s="42" t="n">
        <x:v>6372167000000</x:v>
      </x:c>
      <x:c r="I18" s="42" t="n">
        <x:v>8992358000000</x:v>
      </x:c>
      <x:c r="J18" s="42" t="n">
        <x:f>SUM(F18:I18)</x:f>
        <x:v>35727336000000</x:v>
      </x:c>
      <x:c r="K18" s="42" t="n">
        <x:v>833935000000</x:v>
      </x:c>
      <x:c r="L18" s="42" t="n">
        <x:v>404628000000</x:v>
      </x:c>
      <x:c r="M18" s="42" t="n">
        <x:v>388997000000</x:v>
      </x:c>
      <x:c r="N18" s="42" t="n">
        <x:v>473591000000</x:v>
      </x:c>
      <x:c r="O18" s="42" t="n">
        <x:f>SUM(K18:N18)</x:f>
        <x:v>2101151000000</x:v>
      </x:c>
      <x:c r="P18" s="45" t="n">
        <x:f>IFERROR(O18/J18,0)</x:f>
        <x:v>0.058810738085817535</x:v>
      </x:c>
    </x:row>
    <x:row r="19">
      <x:c r="A19" s="33" t="n">
        <x:v>15</x:v>
      </x:c>
      <x:c r="B19" s="30" t="str">
        <x:v>S-Oil</x:v>
      </x:c>
      <x:c r="C19" s="36" t="n">
        <x:v>138279</x:v>
      </x:c>
      <x:c r="D19" s="39" t="n">
        <x:v>10950</x:v>
      </x:c>
      <x:c r="E19" s="33" t="str">
        <x:v>CFS</x:v>
      </x:c>
      <x:c r="F19" s="42" t="n">
        <x:v>8990533000000</x:v>
      </x:c>
      <x:c r="G19" s="42" t="n">
        <x:v>8048504000000</x:v>
      </x:c>
      <x:c r="H19" s="42" t="n">
        <x:v>8415367000000</x:v>
      </x:c>
      <x:c r="I19" s="42" t="n">
        <x:v>8792553000000</x:v>
      </x:c>
      <x:c r="J19" s="42" t="n">
        <x:f>SUM(F19:I19)</x:f>
        <x:v>34246957000000</x:v>
      </x:c>
      <x:c r="K19" s="42" t="n">
        <x:v>-21541000000</x:v>
      </x:c>
      <x:c r="L19" s="42" t="n">
        <x:v>-343971000000</x:v>
      </x:c>
      <x:c r="M19" s="42" t="n">
        <x:v>229216000000</x:v>
      </x:c>
      <x:c r="N19" s="42" t="n">
        <x:v>371927000000</x:v>
      </x:c>
      <x:c r="O19" s="42" t="n">
        <x:f>SUM(K19:N19)</x:f>
        <x:v>235631000000</x:v>
      </x:c>
      <x:c r="P19" s="45" t="n">
        <x:f>IFERROR(O19/J19,0)</x:f>
        <x:v>0.006880348522643924</x:v>
      </x:c>
    </x:row>
    <x:row r="20">
      <x:c r="A20" s="33" t="n">
        <x:v>16</x:v>
      </x:c>
      <x:c r="B20" s="30" t="str">
        <x:v>LS</x:v>
      </x:c>
      <x:c r="C20" s="36" t="n">
        <x:v>105952</x:v>
      </x:c>
      <x:c r="D20" s="39" t="n">
        <x:v>6260</x:v>
      </x:c>
      <x:c r="E20" s="33" t="str">
        <x:v>CFS</x:v>
      </x:c>
      <x:c r="F20" s="42" t="n">
        <x:v>6913573000000</x:v>
      </x:c>
      <x:c r="G20" s="42" t="n">
        <x:v>7854425000000</x:v>
      </x:c>
      <x:c r="H20" s="42" t="n">
        <x:v>8072773000000</x:v>
      </x:c>
      <x:c r="I20" s="42" t="n">
        <x:v>9029260000000</x:v>
      </x:c>
      <x:c r="J20" s="42" t="n">
        <x:f>SUM(F20:I20)</x:f>
        <x:v>31870031000000</x:v>
      </x:c>
      <x:c r="K20" s="42" t="n">
        <x:v>304505000000</x:v>
      </x:c>
      <x:c r="L20" s="42" t="n">
        <x:v>235640000000</x:v>
      </x:c>
      <x:c r="M20" s="42" t="n">
        <x:v>257128000000</x:v>
      </x:c>
      <x:c r="N20" s="42" t="n">
        <x:v>255281000000</x:v>
      </x:c>
      <x:c r="O20" s="42" t="n">
        <x:f>SUM(K20:N20)</x:f>
        <x:v>1052554000000</x:v>
      </x:c>
      <x:c r="P20" s="45" t="n">
        <x:f>IFERROR(O20/J20,0)</x:f>
        <x:v>0.03302645046062239</x:v>
      </x:c>
    </x:row>
    <x:row r="21">
      <x:c r="A21" s="33" t="n">
        <x:v>17</x:v>
      </x:c>
      <x:c r="B21" s="30" t="str">
        <x:v>현대건설</x:v>
      </x:c>
      <x:c r="C21" s="36" t="n">
        <x:v>164478</x:v>
      </x:c>
      <x:c r="D21" s="39" t="n">
        <x:v>720</x:v>
      </x:c>
      <x:c r="E21" s="33" t="str">
        <x:v>CFS</x:v>
      </x:c>
      <x:c r="F21" s="42" t="n">
        <x:v>7455579000000</x:v>
      </x:c>
      <x:c r="G21" s="42" t="n">
        <x:v>7720720000000</x:v>
      </x:c>
      <x:c r="H21" s="42" t="n">
        <x:v>7826469000000</x:v>
      </x:c>
      <x:c r="I21" s="42" t="n">
        <x:v>8060144000000</x:v>
      </x:c>
      <x:c r="J21" s="42" t="n">
        <x:f>SUM(F21:I21)</x:f>
        <x:v>31062912000000</x:v>
      </x:c>
      <x:c r="K21" s="42" t="n">
        <x:v>213697000000</x:v>
      </x:c>
      <x:c r="L21" s="42" t="n">
        <x:v>217001000000</x:v>
      </x:c>
      <x:c r="M21" s="42" t="n">
        <x:v>103538000000</x:v>
      </x:c>
      <x:c r="N21" s="42" t="n">
        <x:v>118770000000</x:v>
      </x:c>
      <x:c r="O21" s="42" t="n">
        <x:f>SUM(K21:N21)</x:f>
        <x:v>653006000000</x:v>
      </x:c>
      <x:c r="P21" s="45" t="n">
        <x:f>IFERROR(O21/J21,0)</x:f>
        <x:v>0.02102204712809926</x:v>
      </x:c>
    </x:row>
    <x:row r="22">
      <x:c r="A22" s="33" t="n">
        <x:v>18</x:v>
      </x:c>
      <x:c r="B22" s="30" t="str">
        <x:v>HD한국조선해양</x:v>
      </x:c>
      <x:c r="C22" s="36" t="n">
        <x:v>164830</x:v>
      </x:c>
      <x:c r="D22" s="39" t="n">
        <x:v>9540</x:v>
      </x:c>
      <x:c r="E22" s="33" t="str">
        <x:v>CFS</x:v>
      </x:c>
      <x:c r="F22" s="42" t="n">
        <x:v>6771705878000</x:v>
      </x:c>
      <x:c r="G22" s="42" t="n">
        <x:v>7428417053000</x:v>
      </x:c>
      <x:c r="H22" s="42" t="n">
        <x:v>7581435732000</x:v>
      </x:c>
      <x:c r="I22" s="42" t="n">
        <x:v>8151656564000</x:v>
      </x:c>
      <x:c r="J22" s="42" t="n">
        <x:f>SUM(F22:I22)</x:f>
        <x:v>29933215227000</x:v>
      </x:c>
      <x:c r="K22" s="42" t="n">
        <x:v>859154446000</x:v>
      </x:c>
      <x:c r="L22" s="42" t="n">
        <x:v>953641034000</x:v>
      </x:c>
      <x:c r="M22" s="42" t="n">
        <x:v>1053775225000</x:v>
      </x:c>
      <x:c r="N22" s="42" t="n">
        <x:v>1037918873000</x:v>
      </x:c>
      <x:c r="O22" s="42" t="n">
        <x:f>SUM(K22:N22)</x:f>
        <x:v>3904489578000</x:v>
      </x:c>
      <x:c r="P22" s="45" t="n">
        <x:f>IFERROR(O22/J22,0)</x:f>
        <x:v>0.13044003286616931</x:v>
      </x:c>
    </x:row>
    <x:row r="23">
      <x:c r="A23" s="33" t="n">
        <x:v>19</x:v>
      </x:c>
      <x:c r="B23" s="30" t="str">
        <x:v>현대글로비스</x:v>
      </x:c>
      <x:c r="C23" s="36" t="n">
        <x:v>360595</x:v>
      </x:c>
      <x:c r="D23" s="39" t="n">
        <x:v>86280</x:v>
      </x:c>
      <x:c r="E23" s="33" t="str">
        <x:v>CFS</x:v>
      </x:c>
      <x:c r="F23" s="42" t="n">
        <x:v>7223390117785</x:v>
      </x:c>
      <x:c r="G23" s="42" t="n">
        <x:v>7515967179642</x:v>
      </x:c>
      <x:c r="H23" s="42" t="n">
        <x:v>7355054260527</x:v>
      </x:c>
      <x:c r="I23" s="42" t="n">
        <x:v>7471997778662</x:v>
      </x:c>
      <x:c r="J23" s="42" t="n">
        <x:f>SUM(F23:I23)</x:f>
        <x:v>29566409336616</x:v>
      </x:c>
      <x:c r="K23" s="42" t="n">
        <x:v>501884038866</x:v>
      </x:c>
      <x:c r="L23" s="42" t="n">
        <x:v>538878486559</x:v>
      </x:c>
      <x:c r="M23" s="42" t="n">
        <x:v>523988453875</x:v>
      </x:c>
      <x:c r="N23" s="42" t="n">
        <x:v>508256566610</x:v>
      </x:c>
      <x:c r="O23" s="42" t="n">
        <x:f>SUM(K23:N23)</x:f>
        <x:v>2073007545910</x:v>
      </x:c>
      <x:c r="P23" s="45" t="n">
        <x:f>IFERROR(O23/J23,0)</x:f>
        <x:v>0.07011360501400893</x:v>
      </x:c>
    </x:row>
    <x:row r="24">
      <x:c r="A24" s="33" t="n">
        <x:v>20</x:v>
      </x:c>
      <x:c r="B24" s="30" t="str">
        <x:v>이마트</x:v>
      </x:c>
      <x:c r="C24" s="36" t="n">
        <x:v>872984</x:v>
      </x:c>
      <x:c r="D24" s="39" t="n">
        <x:v>139480</x:v>
      </x:c>
      <x:c r="E24" s="33" t="str">
        <x:v>CFS</x:v>
      </x:c>
      <x:c r="F24" s="42" t="n">
        <x:v>7218926638835</x:v>
      </x:c>
      <x:c r="G24" s="42" t="n">
        <x:v>7038971418605</x:v>
      </x:c>
      <x:c r="H24" s="42" t="n">
        <x:v>7400784157345</x:v>
      </x:c>
      <x:c r="I24" s="42" t="n">
        <x:v>7311706049073</x:v>
      </x:c>
      <x:c r="J24" s="42" t="n">
        <x:f>SUM(F24:I24)</x:f>
        <x:v>28970388263858</x:v>
      </x:c>
      <x:c r="K24" s="42" t="n">
        <x:v>159318975212</x:v>
      </x:c>
      <x:c r="L24" s="42" t="n">
        <x:v>21629773276</x:v>
      </x:c>
      <x:c r="M24" s="42" t="n">
        <x:v>151449690811</x:v>
      </x:c>
      <x:c r="N24" s="42" t="n">
        <x:v>-9857269049</x:v>
      </x:c>
      <x:c r="O24" s="42" t="n">
        <x:f>SUM(K24:N24)</x:f>
        <x:v>322541170250</x:v>
      </x:c>
      <x:c r="P24" s="45" t="n">
        <x:f>IFERROR(O24/J24,0)</x:f>
        <x:v>0.011133477650086801</x:v>
      </x:c>
    </x:row>
    <x:row r="25">
      <x:c r="A25" s="33" t="n">
        <x:v>21</x:v>
      </x:c>
      <x:c r="B25" s="30" t="str">
        <x:v>KT</x:v>
      </x:c>
      <x:c r="C25" s="36" t="n">
        <x:v>190321</x:v>
      </x:c>
      <x:c r="D25" s="39" t="n">
        <x:v>30200</x:v>
      </x:c>
      <x:c r="E25" s="33" t="str">
        <x:v>CFS</x:v>
      </x:c>
      <x:c r="F25" s="42" t="n">
        <x:v>6845117000000</x:v>
      </x:c>
      <x:c r="G25" s="42" t="n">
        <x:v>7427337000000</x:v>
      </x:c>
      <x:c r="H25" s="42" t="n">
        <x:v>7126734000000</x:v>
      </x:c>
      <x:c r="I25" s="42" t="n">
        <x:v>6844973000000</x:v>
      </x:c>
      <x:c r="J25" s="42" t="n">
        <x:f>SUM(F25:I25)</x:f>
        <x:v>28244161000000</x:v>
      </x:c>
      <x:c r="K25" s="42" t="n">
        <x:v>688771000000</x:v>
      </x:c>
      <x:c r="L25" s="42" t="n">
        <x:v>1014818000000</x:v>
      </x:c>
      <x:c r="M25" s="42" t="n">
        <x:v>538181000000</x:v>
      </x:c>
      <x:c r="N25" s="42" t="n">
        <x:v>227363000000</x:v>
      </x:c>
      <x:c r="O25" s="42" t="n">
        <x:f>SUM(K25:N25)</x:f>
        <x:v>2469133000000</x:v>
      </x:c>
      <x:c r="P25" s="45" t="n">
        <x:f>IFERROR(O25/J25,0)</x:f>
        <x:v>0.08742100712426898</x:v>
      </x:c>
    </x:row>
    <x:row r="26">
      <x:c r="A26" s="33" t="n">
        <x:v>22</x:v>
      </x:c>
      <x:c r="B26" s="30" t="str">
        <x:v>CJ제일제당</x:v>
      </x:c>
      <x:c r="C26" s="36" t="n">
        <x:v>635134</x:v>
      </x:c>
      <x:c r="D26" s="39" t="n">
        <x:v>97950</x:v>
      </x:c>
      <x:c r="E26" s="33" t="str">
        <x:v>CFS</x:v>
      </x:c>
      <x:c r="F26" s="42" t="n">
        <x:v>7208471055000</x:v>
      </x:c>
      <x:c r="G26" s="42" t="n">
        <x:v>7237175773000</x:v>
      </x:c>
      <x:c r="H26" s="42" t="n">
        <x:v>7439500106000</x:v>
      </x:c>
      <x:c r="I26" s="42" t="n">
        <x:v>5457442166000</x:v>
      </x:c>
      <x:c r="J26" s="42" t="n">
        <x:f>SUM(F26:I26)</x:f>
        <x:v>27342589100000</x:v>
      </x:c>
      <x:c r="K26" s="42" t="n">
        <x:v>333167940000</x:v>
      </x:c>
      <x:c r="L26" s="42" t="n">
        <x:v>353129964000</x:v>
      </x:c>
      <x:c r="M26" s="42" t="n">
        <x:v>346503142000</x:v>
      </x:c>
      <x:c r="N26" s="42" t="n">
        <x:v>204832544000</x:v>
      </x:c>
      <x:c r="O26" s="42" t="n">
        <x:f>SUM(K26:N26)</x:f>
        <x:v>1237633590000</x:v>
      </x:c>
      <x:c r="P26" s="45" t="n">
        <x:f>IFERROR(O26/J26,0)</x:f>
        <x:v>0.04526395015020725</x:v>
      </x:c>
    </x:row>
    <x:row r="27">
      <x:c r="A27" s="33" t="n">
        <x:v>23</x:v>
      </x:c>
      <x:c r="B27" s="30" t="str">
        <x:v>한화에어로스페이스</x:v>
      </x:c>
      <x:c r="C27" s="36" t="n">
        <x:v>126566</x:v>
      </x:c>
      <x:c r="D27" s="39" t="n">
        <x:v>12450</x:v>
      </x:c>
      <x:c r="E27" s="33" t="str">
        <x:v>CFS</x:v>
      </x:c>
      <x:c r="F27" s="42" t="n">
        <x:v>5484220608000</x:v>
      </x:c>
      <x:c r="G27" s="42" t="n">
        <x:v>6310959074000</x:v>
      </x:c>
      <x:c r="H27" s="42" t="n">
        <x:v>6486486380000</x:v>
      </x:c>
      <x:c r="I27" s="42" t="n">
        <x:v>8421235187000</x:v>
      </x:c>
      <x:c r="J27" s="42" t="n">
        <x:f>SUM(F27:I27)</x:f>
        <x:v>26702901249000</x:v>
      </x:c>
      <x:c r="K27" s="42" t="n">
        <x:v>560746176000</x:v>
      </x:c>
      <x:c r="L27" s="42" t="n">
        <x:v>864517384000</x:v>
      </x:c>
      <x:c r="M27" s="42" t="n">
        <x:v>856429531000</x:v>
      </x:c>
      <x:c r="N27" s="42" t="n">
        <x:v>807627090000</x:v>
      </x:c>
      <x:c r="O27" s="42" t="n">
        <x:f>SUM(K27:N27)</x:f>
        <x:v>3089320181000</x:v>
      </x:c>
      <x:c r="P27" s="45" t="n">
        <x:f>IFERROR(O27/J27,0)</x:f>
        <x:v>0.11569230445009013</x:v>
      </x:c>
    </x:row>
    <x:row r="28">
      <x:c r="A28" s="33" t="n">
        <x:v>24</x:v>
      </x:c>
      <x:c r="B28" s="30" t="str">
        <x:v>LG디스플레이</x:v>
      </x:c>
      <x:c r="C28" s="36" t="n">
        <x:v>105873</x:v>
      </x:c>
      <x:c r="D28" s="39" t="n">
        <x:v>34220</x:v>
      </x:c>
      <x:c r="E28" s="33" t="str">
        <x:v>CFS</x:v>
      </x:c>
      <x:c r="F28" s="42" t="n">
        <x:v>6065298000000</x:v>
      </x:c>
      <x:c r="G28" s="42" t="n">
        <x:v>5586956000000</x:v>
      </x:c>
      <x:c r="H28" s="42" t="n">
        <x:v>6956978000000</x:v>
      </x:c>
      <x:c r="I28" s="42" t="n">
        <x:v>7200850000000</x:v>
      </x:c>
      <x:c r="J28" s="42" t="n">
        <x:f>SUM(F28:I28)</x:f>
        <x:v>25810082000000</x:v>
      </x:c>
      <x:c r="K28" s="42" t="n">
        <x:v>33464000000</x:v>
      </x:c>
      <x:c r="L28" s="42" t="n">
        <x:v>-116033000000</x:v>
      </x:c>
      <x:c r="M28" s="42" t="n">
        <x:v>431037000000</x:v>
      </x:c>
      <x:c r="N28" s="42" t="n">
        <x:v>168509000000</x:v>
      </x:c>
      <x:c r="O28" s="42" t="n">
        <x:f>SUM(K28:N28)</x:f>
        <x:v>516977000000</x:v>
      </x:c>
      <x:c r="P28" s="45" t="n">
        <x:f>IFERROR(O28/J28,0)</x:f>
        <x:v>0.020030040973910892</x:v>
      </x:c>
    </x:row>
    <x:row r="29">
      <x:c r="A29" s="33" t="n">
        <x:v>25</x:v>
      </x:c>
      <x:c r="B29" s="30" t="str">
        <x:v>대한항공</x:v>
      </x:c>
      <x:c r="C29" s="36" t="n">
        <x:v>113526</x:v>
      </x:c>
      <x:c r="D29" s="39" t="n">
        <x:v>3490</x:v>
      </x:c>
      <x:c r="E29" s="33" t="str">
        <x:v>CFS</x:v>
      </x:c>
      <x:c r="F29" s="42" t="n">
        <x:v>6491861987200</x:v>
      </x:c>
      <x:c r="G29" s="42" t="n">
        <x:v>6210705839436</x:v>
      </x:c>
      <x:c r="H29" s="42" t="n">
        <x:v>6026889432501</x:v>
      </x:c>
      <x:c r="I29" s="42" t="n">
        <x:v>6496085120365</x:v>
      </x:c>
      <x:c r="J29" s="42" t="n">
        <x:f>SUM(F29:I29)</x:f>
        <x:v>25225542379502</x:v>
      </x:c>
      <x:c r="K29" s="42" t="n">
        <x:v>431046202741</x:v>
      </x:c>
      <x:c r="L29" s="42" t="n">
        <x:v>370083817468</x:v>
      </x:c>
      <x:c r="M29" s="42" t="n">
        <x:v>157543951103</x:v>
      </x:c>
      <x:c r="N29" s="42" t="n">
        <x:v>154915456739</x:v>
      </x:c>
      <x:c r="O29" s="42" t="n">
        <x:f>SUM(K29:N29)</x:f>
        <x:v>1113589428051</x:v>
      </x:c>
      <x:c r="P29" s="45" t="n">
        <x:f>IFERROR(O29/J29,0)</x:f>
        <x:v>0.04414531157735941</x:v>
      </x:c>
    </x:row>
    <x:row r="30">
      <x:c r="A30" s="33" t="n">
        <x:v>26</x:v>
      </x:c>
      <x:c r="B30" s="30" t="str">
        <x:v>현대제철</x:v>
      </x:c>
      <x:c r="C30" s="36" t="n">
        <x:v>145880</x:v>
      </x:c>
      <x:c r="D30" s="39" t="n">
        <x:v>4020</x:v>
      </x:c>
      <x:c r="E30" s="33" t="str">
        <x:v>CFS</x:v>
      </x:c>
      <x:c r="F30" s="42" t="n">
        <x:v>5563465036922</x:v>
      </x:c>
      <x:c r="G30" s="42" t="n">
        <x:v>5945554952398</x:v>
      </x:c>
      <x:c r="H30" s="42" t="n">
        <x:v>5734389046538</x:v>
      </x:c>
      <x:c r="I30" s="42" t="n">
        <x:v>5489828223869</x:v>
      </x:c>
      <x:c r="J30" s="42" t="n">
        <x:f>SUM(F30:I30)</x:f>
        <x:v>22733237259727</x:v>
      </x:c>
      <x:c r="K30" s="42" t="n">
        <x:v>-19028045095</x:v>
      </x:c>
      <x:c r="L30" s="42" t="n">
        <x:v>101768116766</x:v>
      </x:c>
      <x:c r="M30" s="42" t="n">
        <x:v>93239855179</x:v>
      </x:c>
      <x:c r="N30" s="42" t="n">
        <x:v>43255229380</x:v>
      </x:c>
      <x:c r="O30" s="42" t="n">
        <x:f>SUM(K30:N30)</x:f>
        <x:v>219235156230</x:v>
      </x:c>
      <x:c r="P30" s="45" t="n">
        <x:f>IFERROR(O30/J30,0)</x:f>
        <x:v>0.009643815956576735</x:v>
      </x:c>
    </x:row>
    <x:row r="31">
      <x:c r="A31" s="33" t="n">
        <x:v>27</x:v>
      </x:c>
      <x:c r="B31" s="30" t="str">
        <x:v>LG이노텍</x:v>
      </x:c>
      <x:c r="C31" s="36" t="n">
        <x:v>105961</x:v>
      </x:c>
      <x:c r="D31" s="39" t="n">
        <x:v>11070</x:v>
      </x:c>
      <x:c r="E31" s="33" t="str">
        <x:v>CFS</x:v>
      </x:c>
      <x:c r="F31" s="42" t="n">
        <x:v>4982840000000</x:v>
      </x:c>
      <x:c r="G31" s="42" t="n">
        <x:v>3934575000000</x:v>
      </x:c>
      <x:c r="H31" s="42" t="n">
        <x:v>5369431000000</x:v>
      </x:c>
      <x:c r="I31" s="42" t="n">
        <x:v>7609756000000</x:v>
      </x:c>
      <x:c r="J31" s="42" t="n">
        <x:f>SUM(F31:I31)</x:f>
        <x:v>21896602000000</x:v>
      </x:c>
      <x:c r="K31" s="42" t="n">
        <x:v>125117000000</x:v>
      </x:c>
      <x:c r="L31" s="42" t="n">
        <x:v>11392000000</x:v>
      </x:c>
      <x:c r="M31" s="42" t="n">
        <x:v>203749000000</x:v>
      </x:c>
      <x:c r="N31" s="42" t="n">
        <x:v>324750000000</x:v>
      </x:c>
      <x:c r="O31" s="42" t="n">
        <x:f>SUM(K31:N31)</x:f>
        <x:v>665008000000</x:v>
      </x:c>
      <x:c r="P31" s="45" t="n">
        <x:f>IFERROR(O31/J31,0)</x:f>
        <x:v>0.03037037436219556</x:v>
      </x:c>
    </x:row>
    <x:row r="32">
      <x:c r="A32" s="33" t="n">
        <x:v>28</x:v>
      </x:c>
      <x:c r="B32" s="30" t="str">
        <x:v>한국타이어앤테크놀로지</x:v>
      </x:c>
      <x:c r="C32" s="36" t="n">
        <x:v>937324</x:v>
      </x:c>
      <x:c r="D32" s="39" t="n">
        <x:v>161390</x:v>
      </x:c>
      <x:c r="E32" s="33" t="str">
        <x:v>CFS</x:v>
      </x:c>
      <x:c r="F32" s="42" t="n">
        <x:v>4963667180882</x:v>
      </x:c>
      <x:c r="G32" s="42" t="n">
        <x:v>5369659666942</x:v>
      </x:c>
      <x:c r="H32" s="42" t="n">
        <x:v>5412726880899</x:v>
      </x:c>
      <x:c r="I32" s="42" t="n">
        <x:v>5456245734092</x:v>
      </x:c>
      <x:c r="J32" s="42" t="n">
        <x:f>SUM(F32:I32)</x:f>
        <x:v>21202299462815</x:v>
      </x:c>
      <x:c r="K32" s="42" t="n">
        <x:v>354643729430</x:v>
      </x:c>
      <x:c r="L32" s="42" t="n">
        <x:v>353640275653</x:v>
      </x:c>
      <x:c r="M32" s="42" t="n">
        <x:v>585951861726</x:v>
      </x:c>
      <x:c r="N32" s="42" t="n">
        <x:v>546840023523</x:v>
      </x:c>
      <x:c r="O32" s="42" t="n">
        <x:f>SUM(K32:N32)</x:f>
        <x:v>1841075890332</x:v>
      </x:c>
      <x:c r="P32" s="45" t="n">
        <x:f>IFERROR(O32/J32,0)</x:f>
        <x:v>0.08683378392805527</x:v>
      </x:c>
    </x:row>
    <x:row r="33">
      <x:c r="A33" s="33" t="n">
        <x:v>29</x:v>
      </x:c>
      <x:c r="B33" s="30" t="str">
        <x:v>롯데케미칼</x:v>
      </x:c>
      <x:c r="C33" s="36" t="n">
        <x:v>165413</x:v>
      </x:c>
      <x:c r="D33" s="39" t="n">
        <x:v>11170</x:v>
      </x:c>
      <x:c r="E33" s="33" t="str">
        <x:v>CFS</x:v>
      </x:c>
      <x:c r="F33" s="42" t="n">
        <x:v>4901760589377</x:v>
      </x:c>
      <x:c r="G33" s="42" t="n">
        <x:v>4085243338587</x:v>
      </x:c>
      <x:c r="H33" s="42" t="n">
        <x:v>4786058197528</x:v>
      </x:c>
      <x:c r="I33" s="42" t="n">
        <x:v>4709943189430</x:v>
      </x:c>
      <x:c r="J33" s="42" t="n">
        <x:f>SUM(F33:I33)</x:f>
        <x:v>18483005314922</x:v>
      </x:c>
      <x:c r="K33" s="42" t="n">
        <x:v>-126600377008</x:v>
      </x:c>
      <x:c r="L33" s="42" t="n">
        <x:v>-250486420551</x:v>
      </x:c>
      <x:c r="M33" s="42" t="n">
        <x:v>-132554744240</x:v>
      </x:c>
      <x:c r="N33" s="42" t="n">
        <x:v>-433474188154</x:v>
      </x:c>
      <x:c r="O33" s="42" t="n">
        <x:f>SUM(K33:N33)</x:f>
        <x:v>-943115729953</x:v>
      </x:c>
      <x:c r="P33" s="45" t="n">
        <x:f>IFERROR(O33/J33,0)</x:f>
        <x:v>-0.05102610283791827</x:v>
      </x:c>
    </x:row>
    <x:row r="34">
      <x:c r="A34" s="33" t="n">
        <x:v>30</x:v>
      </x:c>
      <x:c r="B34" s="30" t="str">
        <x:v>HD현대중공업</x:v>
      </x:c>
      <x:c r="C34" s="36" t="n">
        <x:v>1390344</x:v>
      </x:c>
      <x:c r="D34" s="39" t="n">
        <x:v>329180</x:v>
      </x:c>
      <x:c r="E34" s="33" t="str">
        <x:v>CFS</x:v>
      </x:c>
      <x:c r="F34" s="42" t="n">
        <x:v>3822515741000</x:v>
      </x:c>
      <x:c r="G34" s="42" t="n">
        <x:v>4147124837000</x:v>
      </x:c>
      <x:c r="H34" s="42" t="n">
        <x:v>4417898203000</x:v>
      </x:c>
      <x:c r="I34" s="42" t="n">
        <x:v>5193094476000</x:v>
      </x:c>
      <x:c r="J34" s="42" t="n">
        <x:f>SUM(F34:I34)</x:f>
        <x:v>17580633257000</x:v>
      </x:c>
      <x:c r="K34" s="42" t="n">
        <x:v>433734171000</x:v>
      </x:c>
      <x:c r="L34" s="42" t="n">
        <x:v>471455984000</x:v>
      </x:c>
      <x:c r="M34" s="42" t="n">
        <x:v>557285392000</x:v>
      </x:c>
      <x:c r="N34" s="42" t="n">
        <x:v>575034555000</x:v>
      </x:c>
      <x:c r="O34" s="42" t="n">
        <x:f>SUM(K34:N34)</x:f>
        <x:v>2037510102000</x:v>
      </x:c>
      <x:c r="P34" s="45" t="n">
        <x:f>IFERROR(O34/J34,0)</x:f>
        <x:v>0.11589514849749419</x:v>
      </x:c>
    </x:row>
    <x:row r="35">
      <x:c r="A35" s="33" t="n">
        <x:v>31</x:v>
      </x:c>
      <x:c r="B35" s="30" t="str">
        <x:v>SK텔레콤</x:v>
      </x:c>
      <x:c r="C35" s="36" t="n">
        <x:v>159023</x:v>
      </x:c>
      <x:c r="D35" s="39" t="n">
        <x:v>17670</x:v>
      </x:c>
      <x:c r="E35" s="33" t="str">
        <x:v>CFS</x:v>
      </x:c>
      <x:c r="F35" s="42" t="n">
        <x:v>4453717000000</x:v>
      </x:c>
      <x:c r="G35" s="42" t="n">
        <x:v>4338760000000</x:v>
      </x:c>
      <x:c r="H35" s="42" t="n">
        <x:v>3978064000000</x:v>
      </x:c>
      <x:c r="I35" s="42" t="n">
        <x:v>4328672000000</x:v>
      </x:c>
      <x:c r="J35" s="42" t="n">
        <x:f>SUM(F35:I35)</x:f>
        <x:v>17099213000000</x:v>
      </x:c>
      <x:c r="K35" s="42" t="n">
        <x:v>567384000000</x:v>
      </x:c>
      <x:c r="L35" s="42" t="n">
        <x:v>338260000000</x:v>
      </x:c>
      <x:c r="M35" s="42" t="n">
        <x:v>48438000000</x:v>
      </x:c>
      <x:c r="N35" s="42" t="n">
        <x:v>119133000000</x:v>
      </x:c>
      <x:c r="O35" s="42" t="n">
        <x:f>SUM(K35:N35)</x:f>
        <x:v>1073215000000</x:v>
      </x:c>
      <x:c r="P35" s="45" t="n">
        <x:f>IFERROR(O35/J35,0)</x:f>
        <x:v>0.06276399972326212</x:v>
      </x:c>
    </x:row>
    <x:row r="36">
      <x:c r="A36" s="33" t="n">
        <x:v>32</x:v>
      </x:c>
      <x:c r="B36" s="30" t="str">
        <x:v>두산에너빌리티</x:v>
      </x:c>
      <x:c r="C36" s="36" t="n">
        <x:v>159616</x:v>
      </x:c>
      <x:c r="D36" s="39" t="n">
        <x:v>34020</x:v>
      </x:c>
      <x:c r="E36" s="33" t="str">
        <x:v>CFS</x:v>
      </x:c>
      <x:c r="F36" s="42" t="n">
        <x:v>3748574000000</x:v>
      </x:c>
      <x:c r="G36" s="42" t="n">
        <x:v>4569021000000</x:v>
      </x:c>
      <x:c r="H36" s="42" t="n">
        <x:v>3880350000000</x:v>
      </x:c>
      <x:c r="I36" s="42" t="n">
        <x:v>4859931000000</x:v>
      </x:c>
      <x:c r="J36" s="42" t="n">
        <x:f>SUM(F36:I36)</x:f>
        <x:v>17057876000000</x:v>
      </x:c>
      <x:c r="K36" s="42" t="n">
        <x:v>142475000000</x:v>
      </x:c>
      <x:c r="L36" s="42" t="n">
        <x:v>271106000000</x:v>
      </x:c>
      <x:c r="M36" s="42" t="n">
        <x:v>137059000000</x:v>
      </x:c>
      <x:c r="N36" s="42" t="n">
        <x:v>212072000000</x:v>
      </x:c>
      <x:c r="O36" s="42" t="n">
        <x:f>SUM(K36:N36)</x:f>
        <x:v>762712000000</x:v>
      </x:c>
      <x:c r="P36" s="45" t="n">
        <x:f>IFERROR(O36/J36,0)</x:f>
        <x:v>0.044713187034540525</x:v>
      </x:c>
    </x:row>
    <x:row r="37">
      <x:c r="A37" s="33" t="n">
        <x:v>33</x:v>
      </x:c>
      <x:c r="B37" s="30" t="str">
        <x:v>고려아연</x:v>
      </x:c>
      <x:c r="C37" s="36" t="n">
        <x:v>102858</x:v>
      </x:c>
      <x:c r="D37" s="39" t="n">
        <x:v>10130</x:v>
      </x:c>
      <x:c r="E37" s="33" t="str">
        <x:v>CFS</x:v>
      </x:c>
      <x:c r="F37" s="42" t="n">
        <x:v>3832784741869</x:v>
      </x:c>
      <x:c r="G37" s="42" t="n">
        <x:v>3825380317089</x:v>
      </x:c>
      <x:c r="H37" s="42" t="n">
        <x:v>4159797406119</x:v>
      </x:c>
      <x:c r="I37" s="42" t="n">
        <x:v>4769888314835</x:v>
      </x:c>
      <x:c r="J37" s="42" t="n">
        <x:f>SUM(F37:I37)</x:f>
        <x:v>16587850779912</x:v>
      </x:c>
      <x:c r="K37" s="42" t="n">
        <x:v>271105783093</x:v>
      </x:c>
      <x:c r="L37" s="42" t="n">
        <x:v>258885283093</x:v>
      </x:c>
      <x:c r="M37" s="42" t="n">
        <x:v>273406534801</x:v>
      </x:c>
      <x:c r="N37" s="42" t="n">
        <x:v>428529174804</x:v>
      </x:c>
      <x:c r="O37" s="42" t="n">
        <x:f>SUM(K37:N37)</x:f>
        <x:v>1231926775791</x:v>
      </x:c>
      <x:c r="P37" s="45" t="n">
        <x:f>IFERROR(O37/J37,0)</x:f>
        <x:v>0.0742668108205357</x:v>
      </x:c>
    </x:row>
    <x:row r="38">
      <x:c r="A38" s="33" t="n">
        <x:v>34</x:v>
      </x:c>
      <x:c r="B38" s="30" t="str">
        <x:v>LG유플러스</x:v>
      </x:c>
      <x:c r="C38" s="36" t="n">
        <x:v>231363</x:v>
      </x:c>
      <x:c r="D38" s="39" t="n">
        <x:v>32640</x:v>
      </x:c>
      <x:c r="E38" s="33" t="str">
        <x:v>CFS</x:v>
      </x:c>
      <x:c r="F38" s="42" t="n">
        <x:v>3748090000000</x:v>
      </x:c>
      <x:c r="G38" s="42" t="n">
        <x:v>3844385000000</x:v>
      </x:c>
      <x:c r="H38" s="42" t="n">
        <x:v>4010838000000</x:v>
      </x:c>
      <x:c r="I38" s="42" t="n">
        <x:v>3848432000000</x:v>
      </x:c>
      <x:c r="J38" s="42" t="n">
        <x:f>SUM(F38:I38)</x:f>
        <x:v>15451745000000</x:v>
      </x:c>
      <x:c r="K38" s="42" t="n">
        <x:v>255427000000</x:v>
      </x:c>
      <x:c r="L38" s="42" t="n">
        <x:v>304506000000</x:v>
      </x:c>
      <x:c r="M38" s="42" t="n">
        <x:v>161670000000</x:v>
      </x:c>
      <x:c r="N38" s="42" t="n">
        <x:v>170528000000</x:v>
      </x:c>
      <x:c r="O38" s="42" t="n">
        <x:f>SUM(K38:N38)</x:f>
        <x:v>892131000000</x:v>
      </x:c>
      <x:c r="P38" s="45" t="n">
        <x:f>IFERROR(O38/J38,0)</x:f>
        <x:v>0.057736585738374535</x:v>
      </x:c>
    </x:row>
    <x:row r="39">
      <x:c r="A39" s="33" t="n">
        <x:v>35</x:v>
      </x:c>
      <x:c r="B39" s="30" t="str">
        <x:v>롯데쇼핑</x:v>
      </x:c>
      <x:c r="C39" s="36" t="n">
        <x:v>120526</x:v>
      </x:c>
      <x:c r="D39" s="39" t="n">
        <x:v>23530</x:v>
      </x:c>
      <x:c r="E39" s="33" t="str">
        <x:v>CFS</x:v>
      </x:c>
      <x:c r="F39" s="42" t="n">
        <x:v>3456770795359</x:v>
      </x:c>
      <x:c r="G39" s="42" t="n">
        <x:v>3349696312762</x:v>
      </x:c>
      <x:c r="H39" s="42" t="n">
        <x:v>3410062599971</x:v>
      </x:c>
      <x:c r="I39" s="42" t="n">
        <x:v>3521825017741</x:v>
      </x:c>
      <x:c r="J39" s="42" t="n">
        <x:f>SUM(F39:I39)</x:f>
        <x:v>13738354725833</x:v>
      </x:c>
      <x:c r="K39" s="42" t="n">
        <x:v>148235715781</x:v>
      </x:c>
      <x:c r="L39" s="42" t="n">
        <x:v>40639191033</x:v>
      </x:c>
      <x:c r="M39" s="42" t="n">
        <x:v>130510430154</x:v>
      </x:c>
      <x:c r="N39" s="42" t="n">
        <x:v>227651884127</x:v>
      </x:c>
      <x:c r="O39" s="42" t="n">
        <x:f>SUM(K39:N39)</x:f>
        <x:v>547037221095</x:v>
      </x:c>
      <x:c r="P39" s="45" t="n">
        <x:f>IFERROR(O39/J39,0)</x:f>
        <x:v>0.03981824840105309</x:v>
      </x:c>
    </x:row>
    <x:row r="40">
      <x:c r="A40" s="33" t="n">
        <x:v>36</x:v>
      </x:c>
      <x:c r="B40" s="30" t="str">
        <x:v>삼성SDI</x:v>
      </x:c>
      <x:c r="C40" s="36" t="n">
        <x:v>126362</x:v>
      </x:c>
      <x:c r="D40" s="39" t="n">
        <x:v>6400</x:v>
      </x:c>
      <x:c r="E40" s="33" t="str">
        <x:v>CFS</x:v>
      </x:c>
      <x:c r="F40" s="42" t="n">
        <x:v>3176817731170</x:v>
      </x:c>
      <x:c r="G40" s="42" t="n">
        <x:v>3179406065745</x:v>
      </x:c>
      <x:c r="H40" s="42" t="n">
        <x:v>3051820635180</x:v>
      </x:c>
      <x:c r="I40" s="42" t="n">
        <x:v>3858686247404</x:v>
      </x:c>
      <x:c r="J40" s="42" t="n">
        <x:f>SUM(F40:I40)</x:f>
        <x:v>13266730679499</x:v>
      </x:c>
      <x:c r="K40" s="42" t="n">
        <x:v>-434068787207</x:v>
      </x:c>
      <x:c r="L40" s="42" t="n">
        <x:v>-397836794835</x:v>
      </x:c>
      <x:c r="M40" s="42" t="n">
        <x:v>-591288808607</x:v>
      </x:c>
      <x:c r="N40" s="42" t="n">
        <x:v>-299166398111</x:v>
      </x:c>
      <x:c r="O40" s="42" t="n">
        <x:f>SUM(K40:N40)</x:f>
        <x:v>-1722360788760</x:v>
      </x:c>
      <x:c r="P40" s="45" t="n">
        <x:f>IFERROR(O40/J40,0)</x:f>
        <x:v>-0.12982556368778586</x:v>
      </x:c>
    </x:row>
    <x:row r="41">
      <x:c r="A41" s="33" t="n">
        <x:v>37</x:v>
      </x:c>
      <x:c r="B41" s="30" t="str">
        <x:v>한화오션</x:v>
      </x:c>
      <x:c r="C41" s="36" t="n">
        <x:v>111704</x:v>
      </x:c>
      <x:c r="D41" s="39" t="n">
        <x:v>42660</x:v>
      </x:c>
      <x:c r="E41" s="33" t="str">
        <x:v>CFS</x:v>
      </x:c>
      <x:c r="F41" s="42" t="n">
        <x:v>3143089504964</x:v>
      </x:c>
      <x:c r="G41" s="42" t="n">
        <x:v>3294113466275</x:v>
      </x:c>
      <x:c r="H41" s="42" t="n">
        <x:v>3023357863134</x:v>
      </x:c>
      <x:c r="I41" s="42" t="n">
        <x:v>3322951443950</x:v>
      </x:c>
      <x:c r="J41" s="42" t="n">
        <x:f>SUM(F41:I41)</x:f>
        <x:v>12783512278323</x:v>
      </x:c>
      <x:c r="K41" s="42" t="n">
        <x:v>258608169144</x:v>
      </x:c>
      <x:c r="L41" s="42" t="n">
        <x:v>371703649349</x:v>
      </x:c>
      <x:c r="M41" s="42" t="n">
        <x:v>289759206450</x:v>
      </x:c>
      <x:c r="N41" s="42" t="n">
        <x:v>247519112985</x:v>
      </x:c>
      <x:c r="O41" s="42" t="n">
        <x:f>SUM(K41:N41)</x:f>
        <x:v>1167590137928</x:v>
      </x:c>
      <x:c r="P41" s="45" t="n">
        <x:f>IFERROR(O41/J41,0)</x:f>
        <x:v>0.09133562924704836</x:v>
      </x:c>
    </x:row>
    <x:row r="42">
      <x:c r="A42" s="33" t="n">
        <x:v>38</x:v>
      </x:c>
      <x:c r="B42" s="30" t="str">
        <x:v>GS건설</x:v>
      </x:c>
      <x:c r="C42" s="36" t="n">
        <x:v>120030</x:v>
      </x:c>
      <x:c r="D42" s="39" t="n">
        <x:v>6360</x:v>
      </x:c>
      <x:c r="E42" s="33" t="str">
        <x:v>CFS</x:v>
      </x:c>
      <x:c r="F42" s="42" t="n">
        <x:v>3062935006761</x:v>
      </x:c>
      <x:c r="G42" s="42" t="n">
        <x:v>3196053298560</x:v>
      </x:c>
      <x:c r="H42" s="42" t="n">
        <x:v>3207971834289</x:v>
      </x:c>
      <x:c r="I42" s="42" t="n">
        <x:v>2983386860390</x:v>
      </x:c>
      <x:c r="J42" s="42" t="n">
        <x:f>SUM(F42:I42)</x:f>
        <x:v>12450347000000</x:v>
      </x:c>
      <x:c r="K42" s="42" t="n">
        <x:v>70376932725</x:v>
      </x:c>
      <x:c r="L42" s="42" t="n">
        <x:v>162060901459</x:v>
      </x:c>
      <x:c r="M42" s="42" t="n">
        <x:v>148473179056</x:v>
      </x:c>
      <x:c r="N42" s="42" t="n">
        <x:v>56897986760</x:v>
      </x:c>
      <x:c r="O42" s="42" t="n">
        <x:f>SUM(K42:N42)</x:f>
        <x:v>437809000000</x:v>
      </x:c>
      <x:c r="P42" s="45" t="n">
        <x:f>IFERROR(O42/J42,0)</x:f>
        <x:v>0.035164401441983906</x:v>
      </x:c>
    </x:row>
    <x:row r="43">
      <x:c r="A43" s="33" t="n">
        <x:v>39</x:v>
      </x:c>
      <x:c r="B43" s="30" t="str">
        <x:v>CJ대한통운</x:v>
      </x:c>
      <x:c r="C43" s="36" t="n">
        <x:v>113410</x:v>
      </x:c>
      <x:c r="D43" s="39" t="n">
        <x:v>120</x:v>
      </x:c>
      <x:c r="E43" s="33" t="str">
        <x:v>CFS</x:v>
      </x:c>
      <x:c r="F43" s="42" t="n">
        <x:v>2992585545195</x:v>
      </x:c>
      <x:c r="G43" s="42" t="n">
        <x:v>3048408107265</x:v>
      </x:c>
      <x:c r="H43" s="42" t="n">
        <x:v>3066608005887</x:v>
      </x:c>
      <x:c r="I43" s="42" t="n">
        <x:v>3177050812933</x:v>
      </x:c>
      <x:c r="J43" s="42" t="n">
        <x:f>SUM(F43:I43)</x:f>
        <x:v>12284652471280</x:v>
      </x:c>
      <x:c r="K43" s="42" t="n">
        <x:v>85366748157</x:v>
      </x:c>
      <x:c r="L43" s="42" t="n">
        <x:v>115243326538</x:v>
      </x:c>
      <x:c r="M43" s="42" t="n">
        <x:v>147907354731</x:v>
      </x:c>
      <x:c r="N43" s="42" t="n">
        <x:v>159563391203</x:v>
      </x:c>
      <x:c r="O43" s="42" t="n">
        <x:f>SUM(K43:N43)</x:f>
        <x:v>508080820629</x:v>
      </x:c>
      <x:c r="P43" s="45" t="n">
        <x:f>IFERROR(O43/J43,0)</x:f>
        <x:v>0.04135899015595518</x:v>
      </x:c>
    </x:row>
    <x:row r="44">
      <x:c r="A44" s="33" t="n">
        <x:v>40</x:v>
      </x:c>
      <x:c r="B44" s="30" t="str">
        <x:v>GS리테일</x:v>
      </x:c>
      <x:c r="C44" s="36" t="n">
        <x:v>140177</x:v>
      </x:c>
      <x:c r="D44" s="39" t="n">
        <x:v>7070</x:v>
      </x:c>
      <x:c r="E44" s="33" t="str">
        <x:v>CFS</x:v>
      </x:c>
      <x:c r="F44" s="42" t="n">
        <x:v>2761296550528</x:v>
      </x:c>
      <x:c r="G44" s="42" t="n">
        <x:v>2980562190769</x:v>
      </x:c>
      <x:c r="H44" s="42" t="n">
        <x:v>3205418315567</x:v>
      </x:c>
      <x:c r="I44" s="42" t="n">
        <x:v>3025971692834</x:v>
      </x:c>
      <x:c r="J44" s="42" t="n">
        <x:f>SUM(F44:I44)</x:f>
        <x:v>11973248749698</x:v>
      </x:c>
      <x:c r="K44" s="42" t="n">
        <x:v>38667957774</x:v>
      </x:c>
      <x:c r="L44" s="42" t="n">
        <x:v>86246034871</x:v>
      </x:c>
      <x:c r="M44" s="42" t="n">
        <x:v>113885591073</x:v>
      </x:c>
      <x:c r="N44" s="42" t="n">
        <x:v>53320020685</x:v>
      </x:c>
      <x:c r="O44" s="42" t="n">
        <x:f>SUM(K44:N44)</x:f>
        <x:v>292119604403</x:v>
      </x:c>
      <x:c r="P44" s="45" t="n">
        <x:f>IFERROR(O44/J44,0)</x:f>
        <x:v>0.02439768942496648</x:v>
      </x:c>
    </x:row>
    <x:row r="45">
      <x:c r="A45" s="33" t="n">
        <x:v>41</x:v>
      </x:c>
      <x:c r="B45" s="30" t="str">
        <x:v>삼성전기</x:v>
      </x:c>
      <x:c r="C45" s="36" t="n">
        <x:v>126371</x:v>
      </x:c>
      <x:c r="D45" s="39" t="n">
        <x:v>9150</x:v>
      </x:c>
      <x:c r="E45" s="33" t="str">
        <x:v>CFS</x:v>
      </x:c>
      <x:c r="F45" s="42" t="n">
        <x:v>2738649099826</x:v>
      </x:c>
      <x:c r="G45" s="42" t="n">
        <x:v>2784629132129</x:v>
      </x:c>
      <x:c r="H45" s="42" t="n">
        <x:v>2889035756675</x:v>
      </x:c>
      <x:c r="I45" s="42" t="n">
        <x:v>2902145249470</x:v>
      </x:c>
      <x:c r="J45" s="42" t="n">
        <x:f>SUM(F45:I45)</x:f>
        <x:v>11314459238100</x:v>
      </x:c>
      <x:c r="K45" s="42" t="n">
        <x:v>200549840807</x:v>
      </x:c>
      <x:c r="L45" s="42" t="n">
        <x:v>213008153549</x:v>
      </x:c>
      <x:c r="M45" s="42" t="n">
        <x:v>260277272715</x:v>
      </x:c>
      <x:c r="N45" s="42" t="n">
        <x:v>239495911486</x:v>
      </x:c>
      <x:c r="O45" s="42" t="n">
        <x:f>SUM(K45:N45)</x:f>
        <x:v>913331178557</x:v>
      </x:c>
      <x:c r="P45" s="45" t="n">
        <x:f>IFERROR(O45/J45,0)</x:f>
        <x:v>0.08072247726002438</x:v>
      </x:c>
    </x:row>
    <x:row r="46">
      <x:c r="A46" s="33" t="n">
        <x:v>42</x:v>
      </x:c>
      <x:c r="B46" s="30" t="str">
        <x:v>HMM</x:v>
      </x:c>
      <x:c r="C46" s="36" t="n">
        <x:v>164645</x:v>
      </x:c>
      <x:c r="D46" s="39" t="n">
        <x:v>11200</x:v>
      </x:c>
      <x:c r="E46" s="33" t="str">
        <x:v>CFS</x:v>
      </x:c>
      <x:c r="F46" s="42" t="n">
        <x:v>2854682000000</x:v>
      </x:c>
      <x:c r="G46" s="42" t="n">
        <x:v>2622747000000</x:v>
      </x:c>
      <x:c r="H46" s="42" t="n">
        <x:v>2706392000000</x:v>
      </x:c>
      <x:c r="I46" s="42" t="n">
        <x:v>2707622000000</x:v>
      </x:c>
      <x:c r="J46" s="42" t="n">
        <x:f>SUM(F46:I46)</x:f>
        <x:v>10891443000000</x:v>
      </x:c>
      <x:c r="K46" s="42" t="n">
        <x:v>613899000000</x:v>
      </x:c>
      <x:c r="L46" s="42" t="n">
        <x:v>233175000000</x:v>
      </x:c>
      <x:c r="M46" s="42" t="n">
        <x:v>296835000000</x:v>
      </x:c>
      <x:c r="N46" s="42" t="n">
        <x:v>317293000000</x:v>
      </x:c>
      <x:c r="O46" s="42" t="n">
        <x:f>SUM(K46:N46)</x:f>
        <x:v>1461202000000</x:v>
      </x:c>
      <x:c r="P46" s="45" t="n">
        <x:f>IFERROR(O46/J46,0)</x:f>
        <x:v>0.13416055154491466</x:v>
      </x:c>
    </x:row>
    <x:row r="47">
      <x:c r="A47" s="33" t="n">
        <x:v>43</x:v>
      </x:c>
      <x:c r="B47" s="30" t="str">
        <x:v>한온시스템</x:v>
      </x:c>
      <x:c r="C47" s="36" t="n">
        <x:v>161125</x:v>
      </x:c>
      <x:c r="D47" s="39" t="n">
        <x:v>18880</x:v>
      </x:c>
      <x:c r="E47" s="33" t="str">
        <x:v>CFS</x:v>
      </x:c>
      <x:c r="F47" s="42" t="n">
        <x:v>2617325677473</x:v>
      </x:c>
      <x:c r="G47" s="42" t="n">
        <x:v>2858195834535</x:v>
      </x:c>
      <x:c r="H47" s="42" t="n">
        <x:v>2705697664534</x:v>
      </x:c>
      <x:c r="I47" s="42" t="n">
        <x:v>2702509229477</x:v>
      </x:c>
      <x:c r="J47" s="42" t="n">
        <x:f>SUM(F47:I47)</x:f>
        <x:v>10883728406019</x:v>
      </x:c>
      <x:c r="K47" s="42" t="n">
        <x:v>21074684447</x:v>
      </x:c>
      <x:c r="L47" s="42" t="n">
        <x:v>64300533984</x:v>
      </x:c>
      <x:c r="M47" s="42" t="n">
        <x:v>95301547871</x:v>
      </x:c>
      <x:c r="N47" s="42" t="n">
        <x:v>89694866866</x:v>
      </x:c>
      <x:c r="O47" s="42" t="n">
        <x:f>SUM(K47:N47)</x:f>
        <x:v>270371633168</x:v>
      </x:c>
      <x:c r="P47" s="45" t="n">
        <x:f>IFERROR(O47/J47,0)</x:f>
        <x:v>0.024841821026926496</x:v>
      </x:c>
    </x:row>
    <x:row r="48">
      <x:c r="A48" s="33" t="n">
        <x:v>44</x:v>
      </x:c>
      <x:c r="B48" s="30" t="str">
        <x:v>삼성중공업</x:v>
      </x:c>
      <x:c r="C48" s="36" t="n">
        <x:v>126478</x:v>
      </x:c>
      <x:c r="D48" s="39" t="n">
        <x:v>10140</x:v>
      </x:c>
      <x:c r="E48" s="33" t="str">
        <x:v>CFS</x:v>
      </x:c>
      <x:c r="F48" s="42" t="n">
        <x:v>2494285868057</x:v>
      </x:c>
      <x:c r="G48" s="42" t="n">
        <x:v>2682977392293</x:v>
      </x:c>
      <x:c r="H48" s="42" t="n">
        <x:v>2634818809913</x:v>
      </x:c>
      <x:c r="I48" s="42" t="n">
        <x:v>2837928632555</x:v>
      </x:c>
      <x:c r="J48" s="42" t="n">
        <x:f>SUM(F48:I48)</x:f>
        <x:v>10650010702818</x:v>
      </x:c>
      <x:c r="K48" s="42" t="n">
        <x:v>123076970162</x:v>
      </x:c>
      <x:c r="L48" s="42" t="n">
        <x:v>204816240484</x:v>
      </x:c>
      <x:c r="M48" s="42" t="n">
        <x:v>238082461600</x:v>
      </x:c>
      <x:c r="N48" s="42" t="n">
        <x:v>296235207783</x:v>
      </x:c>
      <x:c r="O48" s="42" t="n">
        <x:f>SUM(K48:N48)</x:f>
        <x:v>862210880029</x:v>
      </x:c>
      <x:c r="P48" s="45" t="n">
        <x:f>IFERROR(O48/J48,0)</x:f>
        <x:v>0.08095868671764418</x:v>
      </x:c>
    </x:row>
    <x:row r="49">
      <x:c r="A49" s="33" t="n">
        <x:v>45</x:v>
      </x:c>
      <x:c r="B49" s="30" t="str">
        <x:v>E1</x:v>
      </x:c>
      <x:c r="C49" s="36" t="n">
        <x:v>165583</x:v>
      </x:c>
      <x:c r="D49" s="39" t="n">
        <x:v>17940</x:v>
      </x:c>
      <x:c r="E49" s="33" t="str">
        <x:v>CFS</x:v>
      </x:c>
      <x:c r="F49" s="42" t="n">
        <x:v>2765824636496</x:v>
      </x:c>
      <x:c r="G49" s="42" t="n">
        <x:v>2265591351666</x:v>
      </x:c>
      <x:c r="H49" s="42" t="n">
        <x:v>2417605057386</x:v>
      </x:c>
      <x:c r="I49" s="42" t="n">
        <x:v>2943501559208</x:v>
      </x:c>
      <x:c r="J49" s="42" t="n">
        <x:f>SUM(F49:I49)</x:f>
        <x:v>10392522604756</x:v>
      </x:c>
      <x:c r="K49" s="42" t="n">
        <x:v>105229608624</x:v>
      </x:c>
      <x:c r="L49" s="42" t="n">
        <x:v>100663418104</x:v>
      </x:c>
      <x:c r="M49" s="42" t="n">
        <x:v>90884382805</x:v>
      </x:c>
      <x:c r="N49" s="42" t="n">
        <x:v>27285616805</x:v>
      </x:c>
      <x:c r="O49" s="42" t="n">
        <x:f>SUM(K49:N49)</x:f>
        <x:v>324063026338</x:v>
      </x:c>
      <x:c r="P49" s="45" t="n">
        <x:f>IFERROR(O49/J49,0)</x:f>
        <x:v>0.031182325857025017</x:v>
      </x:c>
    </x:row>
    <x:row r="50">
      <x:c r="A50" s="33" t="n">
        <x:v>46</x:v>
      </x:c>
      <x:c r="B50" s="30" t="str">
        <x:v>동원산업</x:v>
      </x:c>
      <x:c r="C50" s="36" t="n">
        <x:v>118026</x:v>
      </x:c>
      <x:c r="D50" s="39" t="n">
        <x:v>6040</x:v>
      </x:c>
      <x:c r="E50" s="33" t="str">
        <x:v>CFS</x:v>
      </x:c>
      <x:c r="F50" s="42" t="n">
        <x:v>2319311626983</x:v>
      </x:c>
      <x:c r="G50" s="42" t="n">
        <x:v>2358613258350</x:v>
      </x:c>
      <x:c r="H50" s="42" t="n">
        <x:v>2586517748697</x:v>
      </x:c>
      <x:c r="I50" s="42" t="n">
        <x:v>2319231262961</x:v>
      </x:c>
      <x:c r="J50" s="42" t="n">
        <x:f>SUM(F50:I50)</x:f>
        <x:v>9583673896991</x:v>
      </x:c>
      <x:c r="K50" s="42" t="n">
        <x:v>124843272976</x:v>
      </x:c>
      <x:c r="L50" s="42" t="n">
        <x:v>133642247427</x:v>
      </x:c>
      <x:c r="M50" s="42" t="n">
        <x:v>148103644729</x:v>
      </x:c>
      <x:c r="N50" s="42" t="n">
        <x:v>109544937300</x:v>
      </x:c>
      <x:c r="O50" s="42" t="n">
        <x:f>SUM(K50:N50)</x:f>
        <x:v>516134102432</x:v>
      </x:c>
      <x:c r="P50" s="45" t="n">
        <x:f>IFERROR(O50/J50,0)</x:f>
        <x:v>0.05385555768900394</x:v>
      </x:c>
    </x:row>
    <x:row r="51">
      <x:c r="A51" s="33" t="n">
        <x:v>47</x:v>
      </x:c>
      <x:c r="B51" s="30" t="str">
        <x:v>HL만도</x:v>
      </x:c>
      <x:c r="C51" s="36" t="n">
        <x:v>1042775</x:v>
      </x:c>
      <x:c r="D51" s="39" t="n">
        <x:v>204320</x:v>
      </x:c>
      <x:c r="E51" s="33" t="str">
        <x:v>CFS</x:v>
      </x:c>
      <x:c r="F51" s="42" t="n">
        <x:v>2271045425967</x:v>
      </x:c>
      <x:c r="G51" s="42" t="n">
        <x:v>2400873734426</x:v>
      </x:c>
      <x:c r="H51" s="42" t="n">
        <x:v>2321277920316</x:v>
      </x:c>
      <x:c r="I51" s="42" t="n">
        <x:v>2461615500314</x:v>
      </x:c>
      <x:c r="J51" s="42" t="n">
        <x:f>SUM(F51:I51)</x:f>
        <x:v>9454812581023</x:v>
      </x:c>
      <x:c r="K51" s="42" t="n">
        <x:v>79183259192</x:v>
      </x:c>
      <x:c r="L51" s="42" t="n">
        <x:v>104101108144</x:v>
      </x:c>
      <x:c r="M51" s="42" t="n">
        <x:v>94152368623</x:v>
      </x:c>
      <x:c r="N51" s="42" t="n">
        <x:v>79684238923</x:v>
      </x:c>
      <x:c r="O51" s="42" t="n">
        <x:f>SUM(K51:N51)</x:f>
        <x:v>357120974882</x:v>
      </x:c>
      <x:c r="P51" s="45" t="n">
        <x:f>IFERROR(O51/J51,0)</x:f>
        <x:v>0.03777134362227198</x:v>
      </x:c>
    </x:row>
    <x:row r="52">
      <x:c r="A52" s="33" t="n">
        <x:v>48</x:v>
      </x:c>
      <x:c r="B52" s="30" t="str">
        <x:v>BGF리테일</x:v>
      </x:c>
      <x:c r="C52" s="36" t="n">
        <x:v>1263022</x:v>
      </x:c>
      <x:c r="D52" s="39" t="n">
        <x:v>282330</x:v>
      </x:c>
      <x:c r="E52" s="33" t="str">
        <x:v>CFS</x:v>
      </x:c>
      <x:c r="F52" s="42" t="n">
        <x:v>2016470142403</x:v>
      </x:c>
      <x:c r="G52" s="42" t="n">
        <x:v>2290149968095</x:v>
      </x:c>
      <x:c r="H52" s="42" t="n">
        <x:v>2462231428825</x:v>
      </x:c>
      <x:c r="I52" s="42" t="n">
        <x:v>2292364568293</x:v>
      </x:c>
      <x:c r="J52" s="42" t="n">
        <x:f>SUM(F52:I52)</x:f>
        <x:v>9061216107616</x:v>
      </x:c>
      <x:c r="K52" s="42" t="n">
        <x:v>22625658073</x:v>
      </x:c>
      <x:c r="L52" s="42" t="n">
        <x:v>69423840540</x:v>
      </x:c>
      <x:c r="M52" s="42" t="n">
        <x:v>97630927160</x:v>
      </x:c>
      <x:c r="N52" s="42" t="n">
        <x:v>64266900904</x:v>
      </x:c>
      <x:c r="O52" s="42" t="n">
        <x:f>SUM(K52:N52)</x:f>
        <x:v>253947326677</x:v>
      </x:c>
      <x:c r="P52" s="45" t="n">
        <x:f>IFERROR(O52/J52,0)</x:f>
        <x:v>0.02802574441013011</x:v>
      </x:c>
    </x:row>
    <x:row r="53">
      <x:c r="A53" s="33" t="n">
        <x:v>49</x:v>
      </x:c>
      <x:c r="B53" s="30" t="str">
        <x:v>삼성E&amp;A</x:v>
      </x:c>
      <x:c r="C53" s="36" t="n">
        <x:v>126308</x:v>
      </x:c>
      <x:c r="D53" s="39" t="n">
        <x:v>28050</x:v>
      </x:c>
      <x:c r="E53" s="33" t="str">
        <x:v>CFS</x:v>
      </x:c>
      <x:c r="F53" s="42" t="n">
        <x:v>2097955167196</x:v>
      </x:c>
      <x:c r="G53" s="42" t="n">
        <x:v>2178022750175</x:v>
      </x:c>
      <x:c r="H53" s="42" t="n">
        <x:v>1995609066761</x:v>
      </x:c>
      <x:c r="I53" s="42" t="n">
        <x:v>2757182099518</x:v>
      </x:c>
      <x:c r="J53" s="42" t="n">
        <x:f>SUM(F53:I53)</x:f>
        <x:v>9028769083650</x:v>
      </x:c>
      <x:c r="K53" s="42" t="n">
        <x:v>157303530634</x:v>
      </x:c>
      <x:c r="L53" s="42" t="n">
        <x:v>180856635847</x:v>
      </x:c>
      <x:c r="M53" s="42" t="n">
        <x:v>176546857607</x:v>
      </x:c>
      <x:c r="N53" s="42" t="n">
        <x:v>277371822804</x:v>
      </x:c>
      <x:c r="O53" s="42" t="n">
        <x:f>SUM(K53:N53)</x:f>
        <x:v>792078846892</x:v>
      </x:c>
      <x:c r="P53" s="45" t="n">
        <x:f>IFERROR(O53/J53,0)</x:f>
        <x:v>0.0877283314650674</x:v>
      </x:c>
    </x:row>
    <x:row r="54">
      <x:c r="A54" s="33" t="n">
        <x:v>50</x:v>
      </x:c>
      <x:c r="B54" s="30" t="str">
        <x:v>현대위아</x:v>
      </x:c>
      <x:c r="C54" s="36" t="n">
        <x:v>106623</x:v>
      </x:c>
      <x:c r="D54" s="39" t="n">
        <x:v>11210</x:v>
      </x:c>
      <x:c r="E54" s="33" t="str">
        <x:v>CFS</x:v>
      </x:c>
      <x:c r="F54" s="42" t="n">
        <x:v>2061791000000</x:v>
      </x:c>
      <x:c r="G54" s="42" t="n">
        <x:v>2178558000000</x:v>
      </x:c>
      <x:c r="H54" s="42" t="n">
        <x:v>2151875000000</x:v>
      </x:c>
      <x:c r="I54" s="42" t="n">
        <x:v>2089337000000</x:v>
      </x:c>
      <x:c r="J54" s="42" t="n">
        <x:f>SUM(F54:I54)</x:f>
        <x:v>8481561000000</x:v>
      </x:c>
      <x:c r="K54" s="42" t="n">
        <x:v>48548000000</x:v>
      </x:c>
      <x:c r="L54" s="42" t="n">
        <x:v>56331000000</x:v>
      </x:c>
      <x:c r="M54" s="42" t="n">
        <x:v>51848000000</x:v>
      </x:c>
      <x:c r="N54" s="42" t="n">
        <x:v>47686000000</x:v>
      </x:c>
      <x:c r="O54" s="42" t="n">
        <x:f>SUM(K54:N54)</x:f>
        <x:v>204413000000</x:v>
      </x:c>
      <x:c r="P54" s="45" t="n">
        <x:f>IFERROR(O54/J54,0)</x:f>
        <x:v>0.02410087011105621</x:v>
      </x:c>
    </x:row>
    <x:row r="55">
      <x:c r="A55" s="33" t="n">
        <x:v>51</x:v>
      </x:c>
      <x:c r="B55" s="30" t="str">
        <x:v>카카오</x:v>
      </x:c>
      <x:c r="C55" s="36" t="n">
        <x:v>258801</x:v>
      </x:c>
      <x:c r="D55" s="39" t="n">
        <x:v>35720</x:v>
      </x:c>
      <x:c r="E55" s="33" t="str">
        <x:v>CFS</x:v>
      </x:c>
      <x:c r="F55" s="42" t="n">
        <x:v>1863730780367</x:v>
      </x:c>
      <x:c r="G55" s="42" t="n">
        <x:v>2028312877031</x:v>
      </x:c>
      <x:c r="H55" s="42" t="n">
        <x:v>2086580139318</x:v>
      </x:c>
      <x:c r="I55" s="42" t="n">
        <x:v>2120524018370</x:v>
      </x:c>
      <x:c r="J55" s="42" t="n">
        <x:f>SUM(F55:I55)</x:f>
        <x:v>8099147815086</x:v>
      </x:c>
      <x:c r="K55" s="42" t="n">
        <x:v>105400864741</x:v>
      </x:c>
      <x:c r="L55" s="42" t="n">
        <x:v>185925958096</x:v>
      </x:c>
      <x:c r="M55" s="42" t="n">
        <x:v>208047735089</x:v>
      </x:c>
      <x:c r="N55" s="42" t="n">
        <x:v>232661977453</x:v>
      </x:c>
      <x:c r="O55" s="42" t="n">
        <x:f>SUM(K55:N55)</x:f>
        <x:v>732036535379</x:v>
      </x:c>
      <x:c r="P55" s="45" t="n">
        <x:f>IFERROR(O55/J55,0)</x:f>
        <x:v>0.09038439007317055</x:v>
      </x:c>
    </x:row>
    <x:row r="56">
      <x:c r="A56" s="33" t="n">
        <x:v>52</x:v>
      </x:c>
      <x:c r="B56" s="30" t="str">
        <x:v>대우건설</x:v>
      </x:c>
      <x:c r="C56" s="36" t="n">
        <x:v>124540</x:v>
      </x:c>
      <x:c r="D56" s="39" t="n">
        <x:v>47040</x:v>
      </x:c>
      <x:c r="E56" s="33" t="str">
        <x:v>CFS</x:v>
      </x:c>
      <x:c r="F56" s="42" t="n">
        <x:v>2076668652788</x:v>
      </x:c>
      <x:c r="G56" s="42" t="n">
        <x:v>2273320646524</x:v>
      </x:c>
      <x:c r="H56" s="42" t="n">
        <x:v>1990611305711</x:v>
      </x:c>
      <x:c r="I56" s="42" t="n">
        <x:v>1714026532834</x:v>
      </x:c>
      <x:c r="J56" s="42" t="n">
        <x:f>SUM(F56:I56)</x:f>
        <x:v>8054627137857</x:v>
      </x:c>
      <x:c r="K56" s="42" t="n">
        <x:v>151326026275</x:v>
      </x:c>
      <x:c r="L56" s="42" t="n">
        <x:v>82191159199</x:v>
      </x:c>
      <x:c r="M56" s="42" t="n">
        <x:v>56569569369</x:v>
      </x:c>
      <x:c r="N56" s="42" t="n">
        <x:v>-1105518034634</x:v>
      </x:c>
      <x:c r="O56" s="42" t="n">
        <x:f>SUM(K56:N56)</x:f>
        <x:v>-815431279791</x:v>
      </x:c>
      <x:c r="P56" s="45" t="n">
        <x:f>IFERROR(O56/J56,0)</x:f>
        <x:v>-0.10123761979725261</x:v>
      </x:c>
    </x:row>
    <x:row r="57">
      <x:c r="A57" s="33" t="n">
        <x:v>53</x:v>
      </x:c>
      <x:c r="B57" s="30" t="str">
        <x:v>SK가스</x:v>
      </x:c>
      <x:c r="C57" s="36" t="n">
        <x:v>144164</x:v>
      </x:c>
      <x:c r="D57" s="39" t="n">
        <x:v>18670</x:v>
      </x:c>
      <x:c r="E57" s="33" t="str">
        <x:v>CFS</x:v>
      </x:c>
      <x:c r="F57" s="42" t="n">
        <x:v>1827031226222</x:v>
      </x:c>
      <x:c r="G57" s="42" t="n">
        <x:v>1880348502825</x:v>
      </x:c>
      <x:c r="H57" s="42" t="n">
        <x:v>1950225726095</x:v>
      </x:c>
      <x:c r="I57" s="42" t="n">
        <x:v>2018713526855</x:v>
      </x:c>
      <x:c r="J57" s="42" t="n">
        <x:f>SUM(F57:I57)</x:f>
        <x:v>7676318981997</x:v>
      </x:c>
      <x:c r="K57" s="42" t="n">
        <x:v>112909682033</x:v>
      </x:c>
      <x:c r="L57" s="42" t="n">
        <x:v>120673482843</x:v>
      </x:c>
      <x:c r="M57" s="42" t="n">
        <x:v>173452991929</x:v>
      </x:c>
      <x:c r="N57" s="42" t="n">
        <x:v>35795255124</x:v>
      </x:c>
      <x:c r="O57" s="42" t="n">
        <x:f>SUM(K57:N57)</x:f>
        <x:v>442831411929</x:v>
      </x:c>
      <x:c r="P57" s="45" t="n">
        <x:f>IFERROR(O57/J57,0)</x:f>
        <x:v>0.05768798990343638</x:v>
      </x:c>
    </x:row>
    <x:row r="58">
      <x:c r="A58" s="33" t="n">
        <x:v>54</x:v>
      </x:c>
      <x:c r="B58" s="30" t="str">
        <x:v>DL이앤씨</x:v>
      </x:c>
      <x:c r="C58" s="36" t="n">
        <x:v>1524093</x:v>
      </x:c>
      <x:c r="D58" s="39" t="n">
        <x:v>375500</x:v>
      </x:c>
      <x:c r="E58" s="33" t="str">
        <x:v>CFS</x:v>
      </x:c>
      <x:c r="F58" s="42" t="n">
        <x:v>1808165128969</x:v>
      </x:c>
      <x:c r="G58" s="42" t="n">
        <x:v>1991446059297</x:v>
      </x:c>
      <x:c r="H58" s="42" t="n">
        <x:v>1906994631344</x:v>
      </x:c>
      <x:c r="I58" s="42" t="n">
        <x:v>1695819307050</x:v>
      </x:c>
      <x:c r="J58" s="42" t="n">
        <x:f>SUM(F58:I58)</x:f>
        <x:v>7402425126660</x:v>
      </x:c>
      <x:c r="K58" s="42" t="n">
        <x:v>80971204104</x:v>
      </x:c>
      <x:c r="L58" s="42" t="n">
        <x:v>126205591469</x:v>
      </x:c>
      <x:c r="M58" s="42" t="n">
        <x:v>116756387904</x:v>
      </x:c>
      <x:c r="N58" s="42" t="n">
        <x:v>63020084342</x:v>
      </x:c>
      <x:c r="O58" s="42" t="n">
        <x:f>SUM(K58:N58)</x:f>
        <x:v>386953267819</x:v>
      </x:c>
      <x:c r="P58" s="45" t="n">
        <x:f>IFERROR(O58/J58,0)</x:f>
        <x:v>0.05227385096073166</x:v>
      </x:c>
    </x:row>
    <x:row r="59">
      <x:c r="A59" s="33" t="n">
        <x:v>55</x:v>
      </x:c>
      <x:c r="B59" s="30" t="str">
        <x:v>아시아나항공</x:v>
      </x:c>
      <x:c r="C59" s="36" t="n">
        <x:v>138792</x:v>
      </x:c>
      <x:c r="D59" s="39" t="n">
        <x:v>20560</x:v>
      </x:c>
      <x:c r="E59" s="33" t="str">
        <x:v>CFS</x:v>
      </x:c>
      <x:c r="F59" s="42" t="n">
        <x:v>2074369008854</x:v>
      </x:c>
      <x:c r="G59" s="42" t="n">
        <x:v>1887049130097</x:v>
      </x:c>
      <x:c r="H59" s="42" t="n">
        <x:v>1681231694732</x:v>
      </x:c>
      <x:c r="I59" s="42" t="n">
        <x:v>1624200106303</x:v>
      </x:c>
      <x:c r="J59" s="42" t="n">
        <x:f>SUM(F59:I59)</x:f>
        <x:v>7266849939986</x:v>
      </x:c>
      <x:c r="K59" s="42" t="n">
        <x:v>55422125504</x:v>
      </x:c>
      <x:c r="L59" s="42" t="n">
        <x:v>-6938292714</x:v>
      </x:c>
      <x:c r="M59" s="42" t="n">
        <x:v>-197658640963</x:v>
      </x:c>
      <x:c r="N59" s="42" t="n">
        <x:v>-196015453000</x:v>
      </x:c>
      <x:c r="O59" s="42" t="n">
        <x:f>SUM(K59:N59)</x:f>
        <x:v>-345190261173</x:v>
      </x:c>
      <x:c r="P59" s="45" t="n">
        <x:f>IFERROR(O59/J59,0)</x:f>
        <x:v>-0.04750204889653536</x:v>
      </x:c>
    </x:row>
    <x:row r="60">
      <x:c r="A60" s="33" t="n">
        <x:v>56</x:v>
      </x:c>
      <x:c r="B60" s="30" t="str">
        <x:v>금호석유화학</x:v>
      </x:c>
      <x:c r="C60" s="36" t="n">
        <x:v>106368</x:v>
      </x:c>
      <x:c r="D60" s="39" t="n">
        <x:v>11780</x:v>
      </x:c>
      <x:c r="E60" s="33" t="str">
        <x:v>CFS</x:v>
      </x:c>
      <x:c r="F60" s="42" t="n">
        <x:v>1908229062934</x:v>
      </x:c>
      <x:c r="G60" s="42" t="n">
        <x:v>1773366505911</x:v>
      </x:c>
      <x:c r="H60" s="42" t="n">
        <x:v>1643813977906</x:v>
      </x:c>
      <x:c r="I60" s="42" t="n">
        <x:v>1589735553170</x:v>
      </x:c>
      <x:c r="J60" s="42" t="n">
        <x:f>SUM(F60:I60)</x:f>
        <x:v>6915145099921</x:v>
      </x:c>
      <x:c r="K60" s="42" t="n">
        <x:v>120608366574</x:v>
      </x:c>
      <x:c r="L60" s="42" t="n">
        <x:v>65229500384</x:v>
      </x:c>
      <x:c r="M60" s="42" t="n">
        <x:v>84433916233</x:v>
      </x:c>
      <x:c r="N60" s="42" t="n">
        <x:v>1556726355</x:v>
      </x:c>
      <x:c r="O60" s="42" t="n">
        <x:f>SUM(K60:N60)</x:f>
        <x:v>271828509546</x:v>
      </x:c>
      <x:c r="P60" s="45" t="n">
        <x:f>IFERROR(O60/J60,0)</x:f>
        <x:v>0.039309154850431904</x:v>
      </x:c>
    </x:row>
    <x:row r="61">
      <x:c r="A61" s="33" t="n">
        <x:v>57</x:v>
      </x:c>
      <x:c r="B61" s="30" t="str">
        <x:v>KT&amp;G</x:v>
      </x:c>
      <x:c r="C61" s="36" t="n">
        <x:v>244455</x:v>
      </x:c>
      <x:c r="D61" s="39" t="n">
        <x:v>33780</x:v>
      </x:c>
      <x:c r="E61" s="33" t="str">
        <x:v>CFS</x:v>
      </x:c>
      <x:c r="F61" s="42" t="n">
        <x:v>1491108000000</x:v>
      </x:c>
      <x:c r="G61" s="42" t="n">
        <x:v>1547903000000</x:v>
      </x:c>
      <x:c r="H61" s="42" t="n">
        <x:v>1826896000000</x:v>
      </x:c>
      <x:c r="I61" s="42" t="n">
        <x:v>1713800000000</x:v>
      </x:c>
      <x:c r="J61" s="42" t="n">
        <x:f>SUM(F61:I61)</x:f>
        <x:v>6579707000000</x:v>
      </x:c>
      <x:c r="K61" s="42" t="n">
        <x:v>285560000000</x:v>
      </x:c>
      <x:c r="L61" s="42" t="n">
        <x:v>349882000000</x:v>
      </x:c>
      <x:c r="M61" s="42" t="n">
        <x:v>465289000000</x:v>
      </x:c>
      <x:c r="N61" s="42" t="n">
        <x:v>242935000000</x:v>
      </x:c>
      <x:c r="O61" s="42" t="n">
        <x:f>SUM(K61:N61)</x:f>
        <x:v>1343666000000</x:v>
      </x:c>
      <x:c r="P61" s="45" t="n">
        <x:f>IFERROR(O61/J61,0)</x:f>
        <x:v>0.20421365267480757</x:v>
      </x:c>
    </x:row>
    <x:row r="62">
      <x:c r="A62" s="33" t="n">
        <x:v>58</x:v>
      </x:c>
      <x:c r="B62" s="30" t="str">
        <x:v>LG생활건강</x:v>
      </x:c>
      <x:c r="C62" s="36" t="n">
        <x:v>356370</x:v>
      </x:c>
      <x:c r="D62" s="39" t="n">
        <x:v>51900</x:v>
      </x:c>
      <x:c r="E62" s="33" t="str">
        <x:v>CFS</x:v>
      </x:c>
      <x:c r="F62" s="42" t="n">
        <x:v>1697877264205</x:v>
      </x:c>
      <x:c r="G62" s="42" t="n">
        <x:v>1604872243862</x:v>
      </x:c>
      <x:c r="H62" s="42" t="n">
        <x:v>1579950874205</x:v>
      </x:c>
      <x:c r="I62" s="42" t="n">
        <x:v>1472789595070</x:v>
      </x:c>
      <x:c r="J62" s="42" t="n">
        <x:f>SUM(F62:I62)</x:f>
        <x:v>6355489977342</x:v>
      </x:c>
      <x:c r="K62" s="42" t="n">
        <x:v>142369362877</x:v>
      </x:c>
      <x:c r="L62" s="42" t="n">
        <x:v>54814037403</x:v>
      </x:c>
      <x:c r="M62" s="42" t="n">
        <x:v>46195070525</x:v>
      </x:c>
      <x:c r="N62" s="42" t="n">
        <x:v>-72689873876</x:v>
      </x:c>
      <x:c r="O62" s="42" t="n">
        <x:f>SUM(K62:N62)</x:f>
        <x:v>170688596929</x:v>
      </x:c>
      <x:c r="P62" s="45" t="n">
        <x:f>IFERROR(O62/J62,0)</x:f>
        <x:v>0.0268568745348546</x:v>
      </x:c>
    </x:row>
    <x:row r="63">
      <x:c r="A63" s="33" t="n">
        <x:v>59</x:v>
      </x:c>
      <x:c r="B63" s="30" t="str">
        <x:v>현대로템</x:v>
      </x:c>
      <x:c r="C63" s="36" t="n">
        <x:v>302926</x:v>
      </x:c>
      <x:c r="D63" s="39" t="n">
        <x:v>64350</x:v>
      </x:c>
      <x:c r="E63" s="33" t="str">
        <x:v>CFS</x:v>
      </x:c>
      <x:c r="F63" s="42" t="n">
        <x:v>1176141098000</x:v>
      </x:c>
      <x:c r="G63" s="42" t="n">
        <x:v>1417634367000</x:v>
      </x:c>
      <x:c r="H63" s="42" t="n">
        <x:v>1619634717000</x:v>
      </x:c>
      <x:c r="I63" s="42" t="n">
        <x:v>1625621371000</x:v>
      </x:c>
      <x:c r="J63" s="42" t="n">
        <x:f>SUM(F63:I63)</x:f>
        <x:v>5839031553000</x:v>
      </x:c>
      <x:c r="K63" s="42" t="n">
        <x:v>202852668000</x:v>
      </x:c>
      <x:c r="L63" s="42" t="n">
        <x:v>257586859000</x:v>
      </x:c>
      <x:c r="M63" s="42" t="n">
        <x:v>277743855000</x:v>
      </x:c>
      <x:c r="N63" s="42" t="n">
        <x:v>267457127000</x:v>
      </x:c>
      <x:c r="O63" s="42" t="n">
        <x:f>SUM(K63:N63)</x:f>
        <x:v>1005640509000</x:v>
      </x:c>
      <x:c r="P63" s="45" t="n">
        <x:f>IFERROR(O63/J63,0)</x:f>
        <x:v>0.17222727773808966</x:v>
      </x:c>
    </x:row>
    <x:row r="64">
      <x:c r="A64" s="33" t="n">
        <x:v>60</x:v>
      </x:c>
      <x:c r="B64" s="30" t="str">
        <x:v>팬오션</x:v>
      </x:c>
      <x:c r="C64" s="36" t="n">
        <x:v>122737</x:v>
      </x:c>
      <x:c r="D64" s="39" t="n">
        <x:v>28670</x:v>
      </x:c>
      <x:c r="E64" s="33" t="str">
        <x:v>CFS</x:v>
      </x:c>
      <x:c r="F64" s="42" t="n">
        <x:v>1393446000000</x:v>
      </x:c>
      <x:c r="G64" s="42" t="n">
        <x:v>1293649000000</x:v>
      </x:c>
      <x:c r="H64" s="42" t="n">
        <x:v>1269455000000</x:v>
      </x:c>
      <x:c r="I64" s="42" t="n">
        <x:v>1476338000000</x:v>
      </x:c>
      <x:c r="J64" s="42" t="n">
        <x:f>SUM(F64:I64)</x:f>
        <x:v>5432888000000</x:v>
      </x:c>
      <x:c r="K64" s="42" t="n">
        <x:v>113293000000</x:v>
      </x:c>
      <x:c r="L64" s="42" t="n">
        <x:v>123034000000</x:v>
      </x:c>
      <x:c r="M64" s="42" t="n">
        <x:v>125195000000</x:v>
      </x:c>
      <x:c r="N64" s="42" t="n">
        <x:v>130426000000</x:v>
      </x:c>
      <x:c r="O64" s="42" t="n">
        <x:f>SUM(K64:N64)</x:f>
        <x:v>491948000000</x:v>
      </x:c>
      <x:c r="P64" s="45" t="n">
        <x:f>IFERROR(O64/J64,0)</x:f>
        <x:v>0.090549998453861</x:v>
      </x:c>
    </x:row>
    <x:row r="65">
      <x:c r="A65" s="33" t="n">
        <x:v>61</x:v>
      </x:c>
      <x:c r="B65" s="30" t="str">
        <x:v>CJ ENM</x:v>
      </x:c>
      <x:c r="C65" s="36" t="n">
        <x:v>265324</x:v>
      </x:c>
      <x:c r="D65" s="39" t="n">
        <x:v>35760</x:v>
      </x:c>
      <x:c r="E65" s="33" t="str">
        <x:v>CFS</x:v>
      </x:c>
      <x:c r="F65" s="42" t="n">
        <x:v>1138278309590</x:v>
      </x:c>
      <x:c r="G65" s="42" t="n">
        <x:v>1312869558905</x:v>
      </x:c>
      <x:c r="H65" s="42" t="n">
        <x:v>1245606653936</x:v>
      </x:c>
      <x:c r="I65" s="42" t="n">
        <x:v>1437756579494</x:v>
      </x:c>
      <x:c r="J65" s="42" t="n">
        <x:f>SUM(F65:I65)</x:f>
        <x:v>5134511101925</x:v>
      </x:c>
      <x:c r="K65" s="42" t="n">
        <x:v>704502395</x:v>
      </x:c>
      <x:c r="L65" s="42" t="n">
        <x:v>28610310690</x:v>
      </x:c>
      <x:c r="M65" s="42" t="n">
        <x:v>17571069824</x:v>
      </x:c>
      <x:c r="N65" s="42" t="n">
        <x:v>86001859036</x:v>
      </x:c>
      <x:c r="O65" s="42" t="n">
        <x:f>SUM(K65:N65)</x:f>
        <x:v>132887741945</x:v>
      </x:c>
      <x:c r="P65" s="45" t="n">
        <x:f>IFERROR(O65/J65,0)</x:f>
        <x:v>0.02588128437295199</x:v>
      </x:c>
    </x:row>
    <x:row r="66">
      <x:c r="A66" s="33" t="n">
        <x:v>62</x:v>
      </x:c>
      <x:c r="B66" s="30" t="str">
        <x:v>풍산</x:v>
      </x:c>
      <x:c r="C66" s="36" t="n">
        <x:v>684714</x:v>
      </x:c>
      <x:c r="D66" s="39" t="n">
        <x:v>103140</x:v>
      </x:c>
      <x:c r="E66" s="33" t="str">
        <x:v>CFS</x:v>
      </x:c>
      <x:c r="F66" s="42" t="n">
        <x:v>1155945197466</x:v>
      </x:c>
      <x:c r="G66" s="42" t="n">
        <x:v>1293963022374</x:v>
      </x:c>
      <x:c r="H66" s="42" t="n">
        <x:v>1174161019641</x:v>
      </x:c>
      <x:c r="I66" s="42" t="n">
        <x:v>1424511147158</x:v>
      </x:c>
      <x:c r="J66" s="42" t="n">
        <x:f>SUM(F66:I66)</x:f>
        <x:v>5048580386639</x:v>
      </x:c>
      <x:c r="K66" s="42" t="n">
        <x:v>69714361959</x:v>
      </x:c>
      <x:c r="L66" s="42" t="n">
        <x:v>93593429513</x:v>
      </x:c>
      <x:c r="M66" s="42" t="n">
        <x:v>42582649584</x:v>
      </x:c>
      <x:c r="N66" s="42" t="n">
        <x:v>91537022074</x:v>
      </x:c>
      <x:c r="O66" s="42" t="n">
        <x:f>SUM(K66:N66)</x:f>
        <x:v>297427463130</x:v>
      </x:c>
      <x:c r="P66" s="45" t="n">
        <x:f>IFERROR(O66/J66,0)</x:f>
        <x:v>0.05891308850249028</x:v>
      </x:c>
    </x:row>
    <x:row r="67">
      <x:c r="A67" s="33" t="n">
        <x:v>63</x:v>
      </x:c>
      <x:c r="B67" s="30" t="str">
        <x:v>삼성바이오로직스</x:v>
      </x:c>
      <x:c r="C67" s="36" t="n">
        <x:v>877059</x:v>
      </x:c>
      <x:c r="D67" s="39" t="n">
        <x:v>207940</x:v>
      </x:c>
      <x:c r="E67" s="33" t="str">
        <x:v>CFS</x:v>
      </x:c>
      <x:c r="F67" s="42" t="n">
        <x:v>1298272949854</x:v>
      </x:c>
      <x:c r="G67" s="42" t="n">
        <x:v>1289905421405</x:v>
      </x:c>
      <x:c r="H67" s="42" t="n">
        <x:v>1660220823312</x:v>
      </x:c>
      <x:c r="I67" s="42" t="n">
        <x:v>308572500609</x:v>
      </x:c>
      <x:c r="J67" s="42" t="n">
        <x:f>SUM(F67:I67)</x:f>
        <x:v>4556971695180</x:v>
      </x:c>
      <x:c r="K67" s="42" t="n">
        <x:v>486688724699</x:v>
      </x:c>
      <x:c r="L67" s="42" t="n">
        <x:v>475599675863</x:v>
      </x:c>
      <x:c r="M67" s="42" t="n">
        <x:v>728848136440</x:v>
      </x:c>
      <x:c r="N67" s="42" t="n">
        <x:v>378084729628</x:v>
      </x:c>
      <x:c r="O67" s="42" t="n">
        <x:f>SUM(K67:N67)</x:f>
        <x:v>2069221266630</x:v>
      </x:c>
      <x:c r="P67" s="45" t="n">
        <x:f>IFERROR(O67/J67,0)</x:f>
        <x:v>0.45407814773540434</x:v>
      </x:c>
    </x:row>
    <x:row r="68">
      <x:c r="A68" s="33" t="n">
        <x:v>64</x:v>
      </x:c>
      <x:c r="B68" s="30" t="str">
        <x:v>대상</x:v>
      </x:c>
      <x:c r="C68" s="36" t="n">
        <x:v>121941</x:v>
      </x:c>
      <x:c r="D68" s="39" t="n">
        <x:v>1680</x:v>
      </x:c>
      <x:c r="E68" s="33" t="str">
        <x:v>CFS</x:v>
      </x:c>
      <x:c r="F68" s="42" t="n">
        <x:v>1130423675875</x:v>
      </x:c>
      <x:c r="G68" s="42" t="n">
        <x:v>1076032912852</x:v>
      </x:c>
      <x:c r="H68" s="42" t="n">
        <x:v>1145422319482</x:v>
      </x:c>
      <x:c r="I68" s="42" t="n">
        <x:v>1049426463067</x:v>
      </x:c>
      <x:c r="J68" s="42" t="n">
        <x:f>SUM(F68:I68)</x:f>
        <x:v>4401305371276</x:v>
      </x:c>
      <x:c r="K68" s="42" t="n">
        <x:v>57276260048</x:v>
      </x:c>
      <x:c r="L68" s="42" t="n">
        <x:v>40802324548</x:v>
      </x:c>
      <x:c r="M68" s="42" t="n">
        <x:v>50894741698</x:v>
      </x:c>
      <x:c r="N68" s="42" t="n">
        <x:v>20308991134</x:v>
      </x:c>
      <x:c r="O68" s="42" t="n">
        <x:f>SUM(K68:N68)</x:f>
        <x:v>169282317428</x:v>
      </x:c>
      <x:c r="P68" s="45" t="n">
        <x:f>IFERROR(O68/J68,0)</x:f>
        <x:v>0.03846184328239935</x:v>
      </x:c>
    </x:row>
    <x:row r="69">
      <x:c r="A69" s="33" t="n">
        <x:v>65</x:v>
      </x:c>
      <x:c r="B69" s="30" t="str">
        <x:v>아모레퍼시픽</x:v>
      </x:c>
      <x:c r="C69" s="36" t="n">
        <x:v>583424</x:v>
      </x:c>
      <x:c r="D69" s="39" t="n">
        <x:v>90430</x:v>
      </x:c>
      <x:c r="E69" s="33" t="str">
        <x:v>CFS</x:v>
      </x:c>
      <x:c r="F69" s="42" t="n">
        <x:v>1067512073116</x:v>
      </x:c>
      <x:c r="G69" s="42" t="n">
        <x:v>1005023630792</x:v>
      </x:c>
      <x:c r="H69" s="42" t="n">
        <x:v>1016903549806</x:v>
      </x:c>
      <x:c r="I69" s="42" t="n">
        <x:v>1163380967782</x:v>
      </x:c>
      <x:c r="J69" s="42" t="n">
        <x:f>SUM(F69:I69)</x:f>
        <x:v>4252820221496</x:v>
      </x:c>
      <x:c r="K69" s="42" t="n">
        <x:v>117729877264</x:v>
      </x:c>
      <x:c r="L69" s="42" t="n">
        <x:v>73662493730</x:v>
      </x:c>
      <x:c r="M69" s="42" t="n">
        <x:v>91886526963</x:v>
      </x:c>
      <x:c r="N69" s="42" t="n">
        <x:v>52547649106</x:v>
      </x:c>
      <x:c r="O69" s="42" t="n">
        <x:f>SUM(K69:N69)</x:f>
        <x:v>335826547063</x:v>
      </x:c>
      <x:c r="P69" s="45" t="n">
        <x:f>IFERROR(O69/J69,0)</x:f>
        <x:v>0.07896561095283436</x:v>
      </x:c>
    </x:row>
    <x:row r="70">
      <x:c r="A70" s="33" t="n">
        <x:v>66</x:v>
      </x:c>
      <x:c r="B70" s="30" t="str">
        <x:v>현대백화점</x:v>
      </x:c>
      <x:c r="C70" s="36" t="n">
        <x:v>428251</x:v>
      </x:c>
      <x:c r="D70" s="39" t="n">
        <x:v>69960</x:v>
      </x:c>
      <x:c r="E70" s="33" t="str">
        <x:v>CFS</x:v>
      </x:c>
      <x:c r="F70" s="42" t="n">
        <x:v>1098095716000</x:v>
      </x:c>
      <x:c r="G70" s="42" t="n">
        <x:v>1080285956000</x:v>
      </x:c>
      <x:c r="H70" s="42" t="n">
        <x:v>1010252835000</x:v>
      </x:c>
      <x:c r="I70" s="42" t="n">
        <x:v>1041686106000</x:v>
      </x:c>
      <x:c r="J70" s="42" t="n">
        <x:f>SUM(F70:I70)</x:f>
        <x:v>4230320613000</x:v>
      </x:c>
      <x:c r="K70" s="42" t="n">
        <x:v>112462644000</x:v>
      </x:c>
      <x:c r="L70" s="42" t="n">
        <x:v>86873102000</x:v>
      </x:c>
      <x:c r="M70" s="42" t="n">
        <x:v>72695325000</x:v>
      </x:c>
      <x:c r="N70" s="42" t="n">
        <x:v>105916500000</x:v>
      </x:c>
      <x:c r="O70" s="42" t="n">
        <x:f>SUM(K70:N70)</x:f>
        <x:v>377947571000</x:v>
      </x:c>
      <x:c r="P70" s="45" t="n">
        <x:f>IFERROR(O70/J70,0)</x:f>
        <x:v>0.08934253584433932</x:v>
      </x:c>
    </x:row>
    <x:row r="71">
      <x:c r="A71" s="33" t="n">
        <x:v>67</x:v>
      </x:c>
      <x:c r="B71" s="30" t="str">
        <x:v>셀트리온</x:v>
      </x:c>
      <x:c r="C71" s="36" t="n">
        <x:v>413046</x:v>
      </x:c>
      <x:c r="D71" s="39" t="n">
        <x:v>68270</x:v>
      </x:c>
      <x:c r="E71" s="33" t="str">
        <x:v>CFS</x:v>
      </x:c>
      <x:c r="F71" s="42" t="n">
        <x:v>841911660218</x:v>
      </x:c>
      <x:c r="G71" s="42" t="n">
        <x:v>961457364491</x:v>
      </x:c>
      <x:c r="H71" s="42" t="n">
        <x:v>1028969076475</x:v>
      </x:c>
      <x:c r="I71" s="42" t="n">
        <x:v>1330157007697</x:v>
      </x:c>
      <x:c r="J71" s="42" t="n">
        <x:f>SUM(F71:I71)</x:f>
        <x:v>4162495108881</x:v>
      </x:c>
      <x:c r="K71" s="42" t="n">
        <x:v>149420804340</x:v>
      </x:c>
      <x:c r="L71" s="42" t="n">
        <x:v>242466845608</x:v>
      </x:c>
      <x:c r="M71" s="42" t="n">
        <x:v>301411957351</x:v>
      </x:c>
      <x:c r="N71" s="42" t="n">
        <x:v>475171738296</x:v>
      </x:c>
      <x:c r="O71" s="42" t="n">
        <x:f>SUM(K71:N71)</x:f>
        <x:v>1168471345595</x:v>
      </x:c>
      <x:c r="P71" s="45" t="n">
        <x:f>IFERROR(O71/J71,0)</x:f>
        <x:v>0.28071416663096554</x:v>
      </x:c>
    </x:row>
    <x:row r="72">
      <x:c r="A72" s="33" t="n">
        <x:v>68</x:v>
      </x:c>
      <x:c r="B72" s="30" t="str">
        <x:v>호텔신라</x:v>
      </x:c>
      <x:c r="C72" s="36" t="n">
        <x:v>165680</x:v>
      </x:c>
      <x:c r="D72" s="39" t="n">
        <x:v>8770</x:v>
      </x:c>
      <x:c r="E72" s="33" t="str">
        <x:v>CFS</x:v>
      </x:c>
      <x:c r="F72" s="42" t="n">
        <x:v>971789251566</x:v>
      </x:c>
      <x:c r="G72" s="42" t="n">
        <x:v>1025447046840</x:v>
      </x:c>
      <x:c r="H72" s="42" t="n">
        <x:v>1025691115117</x:v>
      </x:c>
      <x:c r="I72" s="42" t="n">
        <x:v>1045379077886</x:v>
      </x:c>
      <x:c r="J72" s="42" t="n">
        <x:f>SUM(F72:I72)</x:f>
        <x:v>4068306491409</x:v>
      </x:c>
      <x:c r="K72" s="42" t="n">
        <x:v>-2470361690</x:v>
      </x:c>
      <x:c r="L72" s="42" t="n">
        <x:v>8660336755</x:v>
      </x:c>
      <x:c r="M72" s="42" t="n">
        <x:v>11440279602</x:v>
      </x:c>
      <x:c r="N72" s="42" t="n">
        <x:v>-4117738639</x:v>
      </x:c>
      <x:c r="O72" s="42" t="n">
        <x:f>SUM(K72:N72)</x:f>
        <x:v>13512516028</x:v>
      </x:c>
      <x:c r="P72" s="45" t="n">
        <x:f>IFERROR(O72/J72,0)</x:f>
        <x:v>0.0033214105320074185</x:v>
      </x:c>
    </x:row>
    <x:row r="73">
      <x:c r="A73" s="33" t="n">
        <x:v>69</x:v>
      </x:c>
      <x:c r="B73" s="30" t="str">
        <x:v>영원무역</x:v>
      </x:c>
      <x:c r="C73" s="36" t="n">
        <x:v>776820</x:v>
      </x:c>
      <x:c r="D73" s="39" t="n">
        <x:v>111770</x:v>
      </x:c>
      <x:c r="E73" s="33" t="str">
        <x:v>CFS</x:v>
      </x:c>
      <x:c r="F73" s="42" t="n">
        <x:v>811347715731</x:v>
      </x:c>
      <x:c r="G73" s="42" t="n">
        <x:v>1038208547635</x:v>
      </x:c>
      <x:c r="H73" s="42" t="n">
        <x:v>1204734592039</x:v>
      </x:c>
      <x:c r="I73" s="42" t="n">
        <x:v>1009293267234</x:v>
      </x:c>
      <x:c r="J73" s="42" t="n">
        <x:f>SUM(F73:I73)</x:f>
        <x:v>4063584122639</x:v>
      </x:c>
      <x:c r="K73" s="42" t="n">
        <x:v>82321576910</x:v>
      </x:c>
      <x:c r="L73" s="42" t="n">
        <x:v>145719620317</x:v>
      </x:c>
      <x:c r="M73" s="42" t="n">
        <x:v>181185099551</x:v>
      </x:c>
      <x:c r="N73" s="42" t="n">
        <x:v>105212481520</x:v>
      </x:c>
      <x:c r="O73" s="42" t="n">
        <x:f>SUM(K73:N73)</x:f>
        <x:v>514438778298</x:v>
      </x:c>
      <x:c r="P73" s="45" t="n">
        <x:f>IFERROR(O73/J73,0)</x:f>
        <x:v>0.12659730001206662</x:v>
      </x:c>
    </x:row>
    <x:row r="74">
      <x:c r="A74" s="33" t="n">
        <x:v>70</x:v>
      </x:c>
      <x:c r="B74" s="30" t="str">
        <x:v>롯데칠성음료</x:v>
      </x:c>
      <x:c r="C74" s="36" t="n">
        <x:v>120571</x:v>
      </x:c>
      <x:c r="D74" s="39" t="n">
        <x:v>5300</x:v>
      </x:c>
      <x:c r="E74" s="33" t="str">
        <x:v>CFS</x:v>
      </x:c>
      <x:c r="F74" s="42" t="n">
        <x:v>910342704536</x:v>
      </x:c>
      <x:c r="G74" s="42" t="n">
        <x:v>1087294314227</x:v>
      </x:c>
      <x:c r="H74" s="42" t="n">
        <x:v>1079169858774</x:v>
      </x:c>
      <x:c r="I74" s="42" t="n">
        <x:v>894336951597</x:v>
      </x:c>
      <x:c r="J74" s="42" t="n">
        <x:f>SUM(F74:I74)</x:f>
        <x:v>3971143829134</x:v>
      </x:c>
      <x:c r="K74" s="42" t="n">
        <x:v>25032401553</x:v>
      </x:c>
      <x:c r="L74" s="42" t="n">
        <x:v>62356488363</x:v>
      </x:c>
      <x:c r="M74" s="42" t="n">
        <x:v>91806733280</x:v>
      </x:c>
      <x:c r="N74" s="42" t="n">
        <x:v>-12035705294</x:v>
      </x:c>
      <x:c r="O74" s="42" t="n">
        <x:f>SUM(K74:N74)</x:f>
        <x:v>167159917902</x:v>
      </x:c>
      <x:c r="P74" s="45" t="n">
        <x:f>IFERROR(O74/J74,0)</x:f>
        <x:v>0.04209364482737788</x:v>
      </x:c>
    </x:row>
    <x:row r="75">
      <x:c r="A75" s="33" t="n">
        <x:v>71</x:v>
      </x:c>
      <x:c r="B75" s="30" t="str">
        <x:v>한국항공우주</x:v>
      </x:c>
      <x:c r="C75" s="36" t="n">
        <x:v>309503</x:v>
      </x:c>
      <x:c r="D75" s="39" t="n">
        <x:v>47810</x:v>
      </x:c>
      <x:c r="E75" s="33" t="str">
        <x:v>CFS</x:v>
      </x:c>
      <x:c r="F75" s="42" t="n">
        <x:v>699256592260</x:v>
      </x:c>
      <x:c r="G75" s="42" t="n">
        <x:v>828336336027</x:v>
      </x:c>
      <x:c r="H75" s="42" t="n">
        <x:v>702116311024</x:v>
      </x:c>
      <x:c r="I75" s="42" t="n">
        <x:v>1466670112290</x:v>
      </x:c>
      <x:c r="J75" s="42" t="n">
        <x:f>SUM(F75:I75)</x:f>
        <x:v>3696379351601</x:v>
      </x:c>
      <x:c r="K75" s="42" t="n">
        <x:v>46812915045</x:v>
      </x:c>
      <x:c r="L75" s="42" t="n">
        <x:v>85215939637</x:v>
      </x:c>
      <x:c r="M75" s="42" t="n">
        <x:v>60191688727</x:v>
      </x:c>
      <x:c r="N75" s="42" t="n">
        <x:v>76969653251</x:v>
      </x:c>
      <x:c r="O75" s="42" t="n">
        <x:f>SUM(K75:N75)</x:f>
        <x:v>269190196660</x:v>
      </x:c>
      <x:c r="P75" s="45" t="n">
        <x:f>IFERROR(O75/J75,0)</x:f>
        <x:v>0.07282537073566504</x:v>
      </x:c>
    </x:row>
    <x:row r="76">
      <x:c r="A76" s="33" t="n">
        <x:v>72</x:v>
      </x:c>
      <x:c r="B76" s="30" t="str">
        <x:v>오뚜기</x:v>
      </x:c>
      <x:c r="C76" s="36" t="n">
        <x:v>141529</x:v>
      </x:c>
      <x:c r="D76" s="39" t="n">
        <x:v>7310</x:v>
      </x:c>
      <x:c r="E76" s="33" t="str">
        <x:v>CFS</x:v>
      </x:c>
      <x:c r="F76" s="42" t="n">
        <x:v>920765241160</x:v>
      </x:c>
      <x:c r="G76" s="42" t="n">
        <x:v>902001635019</x:v>
      </x:c>
      <x:c r="H76" s="42" t="n">
        <x:v>955537738829</x:v>
      </x:c>
      <x:c r="I76" s="42" t="n">
        <x:v>896240806997</x:v>
      </x:c>
      <x:c r="J76" s="42" t="n">
        <x:f>SUM(F76:I76)</x:f>
        <x:v>3674545422005</x:v>
      </x:c>
      <x:c r="K76" s="42" t="n">
        <x:v>57494160512</x:v>
      </x:c>
      <x:c r="L76" s="42" t="n">
        <x:v>45104724632</x:v>
      </x:c>
      <x:c r="M76" s="42" t="n">
        <x:v>55337551539</x:v>
      </x:c>
      <x:c r="N76" s="42" t="n">
        <x:v>19314861045</x:v>
      </x:c>
      <x:c r="O76" s="42" t="n">
        <x:f>SUM(K76:N76)</x:f>
        <x:v>177251297728</x:v>
      </x:c>
      <x:c r="P76" s="45" t="n">
        <x:f>IFERROR(O76/J76,0)</x:f>
        <x:v>0.04823761237690283</x:v>
      </x:c>
    </x:row>
    <x:row r="77">
      <x:c r="A77" s="33" t="n">
        <x:v>73</x:v>
      </x:c>
      <x:c r="B77" s="30" t="str">
        <x:v>세아베스틸지주</x:v>
      </x:c>
      <x:c r="C77" s="36" t="n">
        <x:v>106669</x:v>
      </x:c>
      <x:c r="D77" s="39" t="n">
        <x:v>1430</x:v>
      </x:c>
      <x:c r="E77" s="33" t="str">
        <x:v>CFS</x:v>
      </x:c>
      <x:c r="F77" s="42" t="n">
        <x:v>899902494839</x:v>
      </x:c>
      <x:c r="G77" s="42" t="n">
        <x:v>964508023158</x:v>
      </x:c>
      <x:c r="H77" s="42" t="n">
        <x:v>925909360482</x:v>
      </x:c>
      <x:c r="I77" s="42" t="n">
        <x:v>861265398475</x:v>
      </x:c>
      <x:c r="J77" s="42" t="n">
        <x:f>SUM(F77:I77)</x:f>
        <x:v>3651585276954</x:v>
      </x:c>
      <x:c r="K77" s="42" t="n">
        <x:v>18103104964</x:v>
      </x:c>
      <x:c r="L77" s="42" t="n">
        <x:v>44495774299</x:v>
      </x:c>
      <x:c r="M77" s="42" t="n">
        <x:v>26956604639</x:v>
      </x:c>
      <x:c r="N77" s="42" t="n">
        <x:v>8856508499</x:v>
      </x:c>
      <x:c r="O77" s="42" t="n">
        <x:f>SUM(K77:N77)</x:f>
        <x:v>98411992401</x:v>
      </x:c>
      <x:c r="P77" s="45" t="n">
        <x:f>IFERROR(O77/J77,0)</x:f>
        <x:v>0.02695048449836318</x:v>
      </x:c>
    </x:row>
    <x:row r="78">
      <x:c r="A78" s="33" t="n">
        <x:v>74</x:v>
      </x:c>
      <x:c r="B78" s="30" t="str">
        <x:v>농심</x:v>
      </x:c>
      <x:c r="C78" s="36" t="n">
        <x:v>108241</x:v>
      </x:c>
      <x:c r="D78" s="39" t="n">
        <x:v>4370</x:v>
      </x:c>
      <x:c r="E78" s="33" t="str">
        <x:v>CFS</x:v>
      </x:c>
      <x:c r="F78" s="42" t="n">
        <x:v>893036319476</x:v>
      </x:c>
      <x:c r="G78" s="42" t="n">
        <x:v>867725185755</x:v>
      </x:c>
      <x:c r="H78" s="42" t="n">
        <x:v>871156324854</x:v>
      </x:c>
      <x:c r="I78" s="42" t="n">
        <x:v>882397670012</x:v>
      </x:c>
      <x:c r="J78" s="42" t="n">
        <x:f>SUM(F78:I78)</x:f>
        <x:v>3514315500097</x:v>
      </x:c>
      <x:c r="K78" s="42" t="n">
        <x:v>56051767375</x:v>
      </x:c>
      <x:c r="L78" s="42" t="n">
        <x:v>40152228653</x:v>
      </x:c>
      <x:c r="M78" s="42" t="n">
        <x:v>54375550192</x:v>
      </x:c>
      <x:c r="N78" s="42" t="n">
        <x:v>33353485977</x:v>
      </x:c>
      <x:c r="O78" s="42" t="n">
        <x:f>SUM(K78:N78)</x:f>
        <x:v>183933032197</x:v>
      </x:c>
      <x:c r="P78" s="45" t="n">
        <x:f>IFERROR(O78/J78,0)</x:f>
        <x:v>0.052338224098525926</x:v>
      </x:c>
    </x:row>
    <x:row r="79">
      <x:c r="A79" s="33" t="n">
        <x:v>75</x:v>
      </x:c>
      <x:c r="B79" s="30" t="str">
        <x:v>오리온</x:v>
      </x:c>
      <x:c r="C79" s="36" t="n">
        <x:v>1238169</x:v>
      </x:c>
      <x:c r="D79" s="39" t="n">
        <x:v>271560</x:v>
      </x:c>
      <x:c r="E79" s="33" t="str">
        <x:v>CFS</x:v>
      </x:c>
      <x:c r="F79" s="42" t="n">
        <x:v>801772748119</x:v>
      </x:c>
      <x:c r="G79" s="42" t="n">
        <x:v>777166026153</x:v>
      </x:c>
      <x:c r="H79" s="42" t="n">
        <x:v>828921933912</x:v>
      </x:c>
      <x:c r="I79" s="42" t="n">
        <x:v>924581828189</x:v>
      </x:c>
      <x:c r="J79" s="42" t="n">
        <x:f>SUM(F79:I79)</x:f>
        <x:v>3332442536373</x:v>
      </x:c>
      <x:c r="K79" s="42" t="n">
        <x:v>131375562707</x:v>
      </x:c>
      <x:c r="L79" s="42" t="n">
        <x:v>121451009117</x:v>
      </x:c>
      <x:c r="M79" s="42" t="n">
        <x:v>137871938192</x:v>
      </x:c>
      <x:c r="N79" s="42" t="n">
        <x:v>167559517176</x:v>
      </x:c>
      <x:c r="O79" s="42" t="n">
        <x:f>SUM(K79:N79)</x:f>
        <x:v>558258027192</x:v>
      </x:c>
      <x:c r="P79" s="45" t="n">
        <x:f>IFERROR(O79/J79,0)</x:f>
        <x:v>0.1675221766313195</x:v>
      </x:c>
    </x:row>
    <x:row r="80">
      <x:c r="A80" s="33" t="n">
        <x:v>76</x:v>
      </x:c>
      <x:c r="B80" s="30" t="str">
        <x:v>크래프톤</x:v>
      </x:c>
      <x:c r="C80" s="36" t="n">
        <x:v>760971</x:v>
      </x:c>
      <x:c r="D80" s="39" t="n">
        <x:v>259960</x:v>
      </x:c>
      <x:c r="E80" s="33" t="str">
        <x:v>CFS</x:v>
      </x:c>
      <x:c r="F80" s="42" t="n">
        <x:v>874184373846</x:v>
      </x:c>
      <x:c r="G80" s="42" t="n">
        <x:v>662048249145</x:v>
      </x:c>
      <x:c r="H80" s="42" t="n">
        <x:v>870623522832</x:v>
      </x:c>
      <x:c r="I80" s="42" t="n">
        <x:v>919697549143</x:v>
      </x:c>
      <x:c r="J80" s="42" t="n">
        <x:f>SUM(F80:I80)</x:f>
        <x:v>3326553694966</x:v>
      </x:c>
      <x:c r="K80" s="42" t="n">
        <x:v>457276029726</x:v>
      </x:c>
      <x:c r="L80" s="42" t="n">
        <x:v>246063427020</x:v>
      </x:c>
      <x:c r="M80" s="42" t="n">
        <x:v>348608416956</x:v>
      </x:c>
      <x:c r="N80" s="42" t="n">
        <x:v>2433106486</x:v>
      </x:c>
      <x:c r="O80" s="42" t="n">
        <x:f>SUM(K80:N80)</x:f>
        <x:v>1054380980188</x:v>
      </x:c>
      <x:c r="P80" s="45" t="n">
        <x:f>IFERROR(O80/J80,0)</x:f>
        <x:v>0.31695895418239345</x:v>
      </x:c>
    </x:row>
    <x:row r="81">
      <x:c r="A81" s="33" t="n">
        <x:v>77</x:v>
      </x:c>
      <x:c r="B81" s="30" t="str">
        <x:v>동국제강</x:v>
      </x:c>
      <x:c r="C81" s="36" t="n">
        <x:v>1765265</x:v>
      </x:c>
      <x:c r="D81" s="39" t="n">
        <x:v>460860</x:v>
      </x:c>
      <x:c r="E81" s="33" t="str">
        <x:v>OFS</x:v>
      </x:c>
      <x:c r="F81" s="42" t="n">
        <x:v>725549382880</x:v>
      </x:c>
      <x:c r="G81" s="42" t="n">
        <x:v>893658443588</x:v>
      </x:c>
      <x:c r="H81" s="42" t="n">
        <x:v>769215002239</x:v>
      </x:c>
      <x:c r="I81" s="42" t="n">
        <x:v>815008512516</x:v>
      </x:c>
      <x:c r="J81" s="42" t="n">
        <x:f>SUM(F81:I81)</x:f>
        <x:v>3203431341223</x:v>
      </x:c>
      <x:c r="K81" s="42" t="n">
        <x:v>4254946258</x:v>
      </x:c>
      <x:c r="L81" s="42" t="n">
        <x:v>29915366057</x:v>
      </x:c>
      <x:c r="M81" s="42" t="n">
        <x:v>24492220508</x:v>
      </x:c>
      <x:c r="N81" s="42" t="n">
        <x:v>717876875</x:v>
      </x:c>
      <x:c r="O81" s="42" t="n">
        <x:f>SUM(K81:N81)</x:f>
        <x:v>59380409698</x:v>
      </x:c>
      <x:c r="P81" s="45" t="n">
        <x:f>IFERROR(O81/J81,0)</x:f>
        <x:v>0.01853650144889007</x:v>
      </x:c>
    </x:row>
    <x:row r="82">
      <x:c r="A82" s="33" t="n">
        <x:v>78</x:v>
      </x:c>
      <x:c r="B82" s="30" t="str">
        <x:v>넷마블</x:v>
      </x:c>
      <x:c r="C82" s="36" t="n">
        <x:v>904672</x:v>
      </x:c>
      <x:c r="D82" s="39" t="n">
        <x:v>251270</x:v>
      </x:c>
      <x:c r="E82" s="33" t="str">
        <x:v>CFS</x:v>
      </x:c>
      <x:c r="F82" s="42" t="n">
        <x:v>623876973162</x:v>
      </x:c>
      <x:c r="G82" s="42" t="n">
        <x:v>717640895462</x:v>
      </x:c>
      <x:c r="H82" s="42" t="n">
        <x:v>695955265610</x:v>
      </x:c>
      <x:c r="I82" s="42" t="n">
        <x:v>797601277662</x:v>
      </x:c>
      <x:c r="J82" s="42" t="n">
        <x:f>SUM(F82:I82)</x:f>
        <x:v>2835074411896</x:v>
      </x:c>
      <x:c r="K82" s="42" t="n">
        <x:v>49710408219</x:v>
      </x:c>
      <x:c r="L82" s="42" t="n">
        <x:v>101140974173</x:v>
      </x:c>
      <x:c r="M82" s="42" t="n">
        <x:v>90869530867</x:v>
      </x:c>
      <x:c r="N82" s="42" t="n">
        <x:v>110757439224</x:v>
      </x:c>
      <x:c r="O82" s="42" t="n">
        <x:f>SUM(K82:N82)</x:f>
        <x:v>352478352483</x:v>
      </x:c>
      <x:c r="P82" s="45" t="n">
        <x:f>IFERROR(O82/J82,0)</x:f>
        <x:v>0.12432772522795077</x:v>
      </x:c>
    </x:row>
    <x:row r="83">
      <x:c r="A83" s="33" t="n">
        <x:v>79</x:v>
      </x:c>
      <x:c r="B83" s="30" t="str">
        <x:v>한국콜마</x:v>
      </x:c>
      <x:c r="C83" s="36" t="n">
        <x:v>939331</x:v>
      </x:c>
      <x:c r="D83" s="39" t="n">
        <x:v>161890</x:v>
      </x:c>
      <x:c r="E83" s="33" t="str">
        <x:v>CFS</x:v>
      </x:c>
      <x:c r="F83" s="42" t="n">
        <x:v>653085689014</x:v>
      </x:c>
      <x:c r="G83" s="42" t="n">
        <x:v>730849244128</x:v>
      </x:c>
      <x:c r="H83" s="42" t="n">
        <x:v>683014538376</x:v>
      </x:c>
      <x:c r="I83" s="42" t="n">
        <x:v>655469697807</x:v>
      </x:c>
      <x:c r="J83" s="42" t="n">
        <x:f>SUM(F83:I83)</x:f>
        <x:v>2722419169325</x:v>
      </x:c>
      <x:c r="K83" s="42" t="n">
        <x:v>59939938284</x:v>
      </x:c>
      <x:c r="L83" s="42" t="n">
        <x:v>73477279890</x:v>
      </x:c>
      <x:c r="M83" s="42" t="n">
        <x:v>58330238822</x:v>
      </x:c>
      <x:c r="N83" s="42" t="n">
        <x:v>47847283452</x:v>
      </x:c>
      <x:c r="O83" s="42" t="n">
        <x:f>SUM(K83:N83)</x:f>
        <x:v>239594740448</x:v>
      </x:c>
      <x:c r="P83" s="45" t="n">
        <x:f>IFERROR(O83/J83,0)</x:f>
        <x:v>0.08800802725298376</x:v>
      </x:c>
    </x:row>
    <x:row r="84">
      <x:c r="A84" s="33" t="n">
        <x:v>80</x:v>
      </x:c>
      <x:c r="B84" s="30" t="str">
        <x:v>에코프로비엠</x:v>
      </x:c>
      <x:c r="C84" s="36" t="n">
        <x:v>1160363</x:v>
      </x:c>
      <x:c r="D84" s="39" t="n">
        <x:v>247540</x:v>
      </x:c>
      <x:c r="E84" s="33" t="str">
        <x:v>CFS</x:v>
      </x:c>
      <x:c r="F84" s="42" t="n">
        <x:v>629788701177</x:v>
      </x:c>
      <x:c r="G84" s="42" t="n">
        <x:v>779716508199</x:v>
      </x:c>
      <x:c r="H84" s="42" t="n">
        <x:v>625060142880</x:v>
      </x:c>
      <x:c r="I84" s="42" t="n">
        <x:v>497011031857</x:v>
      </x:c>
      <x:c r="J84" s="42" t="n">
        <x:f>SUM(F84:I84)</x:f>
        <x:v>2531576384113</x:v>
      </x:c>
      <x:c r="K84" s="42" t="n">
        <x:v>2269955889</x:v>
      </x:c>
      <x:c r="L84" s="42" t="n">
        <x:v>49000956082</x:v>
      </x:c>
      <x:c r="M84" s="42" t="n">
        <x:v>50480514861</x:v>
      </x:c>
      <x:c r="N84" s="42" t="n">
        <x:v>41558472893</x:v>
      </x:c>
      <x:c r="O84" s="42" t="n">
        <x:f>SUM(K84:N84)</x:f>
        <x:v>143309899725</x:v>
      </x:c>
      <x:c r="P84" s="45" t="n">
        <x:f>IFERROR(O84/J84,0)</x:f>
        <x:v>0.056608957416551406</x:v>
      </x:c>
    </x:row>
    <x:row r="85">
      <x:c r="A85" s="33" t="n">
        <x:v>81</x:v>
      </x:c>
      <x:c r="B85" s="30" t="str">
        <x:v>하이트진로</x:v>
      </x:c>
      <x:c r="C85" s="36" t="n">
        <x:v>150244</x:v>
      </x:c>
      <x:c r="D85" s="39" t="n">
        <x:v>80</x:v>
      </x:c>
      <x:c r="E85" s="33" t="str">
        <x:v>CFS</x:v>
      </x:c>
      <x:c r="F85" s="42" t="n">
        <x:v>612776901672</x:v>
      </x:c>
      <x:c r="G85" s="42" t="n">
        <x:v>646554290798</x:v>
      </x:c>
      <x:c r="H85" s="42" t="n">
        <x:v>669532545814</x:v>
      </x:c>
      <x:c r="I85" s="42" t="n">
        <x:v>569703083000</x:v>
      </x:c>
      <x:c r="J85" s="42" t="n">
        <x:f>SUM(F85:I85)</x:f>
        <x:v>2498566821284</x:v>
      </x:c>
      <x:c r="K85" s="42" t="n">
        <x:v>62725468488</x:v>
      </x:c>
      <x:c r="L85" s="42" t="n">
        <x:v>64459394712</x:v>
      </x:c>
      <x:c r="M85" s="42" t="n">
        <x:v>54393842629</x:v>
      </x:c>
      <x:c r="N85" s="42" t="n">
        <x:v>-9240034831</x:v>
      </x:c>
      <x:c r="O85" s="42" t="n">
        <x:f>SUM(K85:N85)</x:f>
        <x:v>172338670998</x:v>
      </x:c>
      <x:c r="P85" s="45" t="n">
        <x:f>IFERROR(O85/J85,0)</x:f>
        <x:v>0.0689750098055957</x:v>
      </x:c>
    </x:row>
    <x:row r="86">
      <x:c r="A86" s="33" t="n">
        <x:v>82</x:v>
      </x:c>
      <x:c r="B86" s="30" t="str">
        <x:v>효성</x:v>
      </x:c>
      <x:c r="C86" s="36" t="n">
        <x:v>117188</x:v>
      </x:c>
      <x:c r="D86" s="39" t="n">
        <x:v>4800</x:v>
      </x:c>
      <x:c r="E86" s="33" t="str">
        <x:v>CFS</x:v>
      </x:c>
      <x:c r="F86" s="42" t="n">
        <x:v>553897669909</x:v>
      </x:c>
      <x:c r="G86" s="42" t="n">
        <x:v>601914227660</x:v>
      </x:c>
      <x:c r="H86" s="42" t="n">
        <x:v>612171789960</x:v>
      </x:c>
      <x:c r="I86" s="42" t="n">
        <x:v>663725027208</x:v>
      </x:c>
      <x:c r="J86" s="42" t="n">
        <x:f>SUM(F86:I86)</x:f>
        <x:v>2431708714737</x:v>
      </x:c>
      <x:c r="K86" s="42" t="n">
        <x:v>81820624098</x:v>
      </x:c>
      <x:c r="L86" s="42" t="n">
        <x:v>99137937022</x:v>
      </x:c>
      <x:c r="M86" s="42" t="n">
        <x:v>121853460369</x:v>
      </x:c>
      <x:c r="N86" s="42" t="n">
        <x:v>90209416337</x:v>
      </x:c>
      <x:c r="O86" s="42" t="n">
        <x:f>SUM(K86:N86)</x:f>
        <x:v>393021437826</x:v>
      </x:c>
      <x:c r="P86" s="45" t="n">
        <x:f>IFERROR(O86/J86,0)</x:f>
        <x:v>0.16162356759432306</x:v>
      </x:c>
    </x:row>
    <x:row r="87">
      <x:c r="A87" s="33" t="n">
        <x:v>83</x:v>
      </x:c>
      <x:c r="B87" s="30" t="str">
        <x:v>코스맥스</x:v>
      </x:c>
      <x:c r="C87" s="36" t="n">
        <x:v>1009789</x:v>
      </x:c>
      <x:c r="D87" s="39" t="n">
        <x:v>192820</x:v>
      </x:c>
      <x:c r="E87" s="33" t="str">
        <x:v>CFS</x:v>
      </x:c>
      <x:c r="F87" s="42" t="n">
        <x:v>588574135736</x:v>
      </x:c>
      <x:c r="G87" s="42" t="n">
        <x:v>623560619449</x:v>
      </x:c>
      <x:c r="H87" s="42" t="n">
        <x:v>585616672949</x:v>
      </x:c>
      <x:c r="I87" s="42" t="n">
        <x:v>601006544714</x:v>
      </x:c>
      <x:c r="J87" s="42" t="n">
        <x:f>SUM(F87:I87)</x:f>
        <x:v>2398757972848</x:v>
      </x:c>
      <x:c r="K87" s="42" t="n">
        <x:v>51346295225</x:v>
      </x:c>
      <x:c r="L87" s="42" t="n">
        <x:v>60812964839</x:v>
      </x:c>
      <x:c r="M87" s="42" t="n">
        <x:v>42726679740</x:v>
      </x:c>
      <x:c r="N87" s="42" t="n">
        <x:v>40905721820</x:v>
      </x:c>
      <x:c r="O87" s="42" t="n">
        <x:f>SUM(K87:N87)</x:f>
        <x:v>195791661624</x:v>
      </x:c>
      <x:c r="P87" s="45" t="n">
        <x:f>IFERROR(O87/J87,0)</x:f>
        <x:v>0.08162209936984191</x:v>
      </x:c>
    </x:row>
    <x:row r="88">
      <x:c r="A88" s="33" t="n">
        <x:v>84</x:v>
      </x:c>
      <x:c r="B88" s="30" t="str">
        <x:v>한솔제지</x:v>
      </x:c>
      <x:c r="C88" s="36" t="n">
        <x:v>1060744</x:v>
      </x:c>
      <x:c r="D88" s="39" t="n">
        <x:v>213500</x:v>
      </x:c>
      <x:c r="E88" s="33" t="str">
        <x:v>CFS</x:v>
      </x:c>
      <x:c r="F88" s="42" t="n">
        <x:v>575596236435</x:v>
      </x:c>
      <x:c r="G88" s="42" t="n">
        <x:v>565039432595</x:v>
      </x:c>
      <x:c r="H88" s="42" t="n">
        <x:v>554829844890</x:v>
      </x:c>
      <x:c r="I88" s="42" t="n">
        <x:v>594574928485</x:v>
      </x:c>
      <x:c r="J88" s="42" t="n">
        <x:f>SUM(F88:I88)</x:f>
        <x:v>2290040442405</x:v>
      </x:c>
      <x:c r="K88" s="42" t="n">
        <x:v>20338100882</x:v>
      </x:c>
      <x:c r="L88" s="42" t="n">
        <x:v>19334988586</x:v>
      </x:c>
      <x:c r="M88" s="42" t="n">
        <x:v>2550335223</x:v>
      </x:c>
      <x:c r="N88" s="42" t="n">
        <x:v>7708680566</x:v>
      </x:c>
      <x:c r="O88" s="42" t="n">
        <x:f>SUM(K88:N88)</x:f>
        <x:v>49932105257</x:v>
      </x:c>
      <x:c r="P88" s="45" t="n">
        <x:f>IFERROR(O88/J88,0)</x:f>
        <x:v>0.021804027707284207</x:v>
      </x:c>
    </x:row>
    <x:row r="89">
      <x:c r="A89" s="33" t="n">
        <x:v>85</x:v>
      </x:c>
      <x:c r="B89" s="30" t="str">
        <x:v>유한양행</x:v>
      </x:c>
      <x:c r="C89" s="36" t="n">
        <x:v>145109</x:v>
      </x:c>
      <x:c r="D89" s="39" t="n">
        <x:v>100</x:v>
      </x:c>
      <x:c r="E89" s="33" t="str">
        <x:v>CFS</x:v>
      </x:c>
      <x:c r="F89" s="42" t="n">
        <x:v>491563987277</x:v>
      </x:c>
      <x:c r="G89" s="42" t="n">
        <x:v>578987017426</x:v>
      </x:c>
      <x:c r="H89" s="42" t="n">
        <x:v>570013578017</x:v>
      </x:c>
      <x:c r="I89" s="42" t="n">
        <x:v>546073003638</x:v>
      </x:c>
      <x:c r="J89" s="42" t="n">
        <x:f>SUM(F89:I89)</x:f>
        <x:v>2186637586358</x:v>
      </x:c>
      <x:c r="K89" s="42" t="n">
        <x:v>6419671960</x:v>
      </x:c>
      <x:c r="L89" s="42" t="n">
        <x:v>49861015710</x:v>
      </x:c>
      <x:c r="M89" s="42" t="n">
        <x:v>22013818741</x:v>
      </x:c>
      <x:c r="N89" s="42" t="n">
        <x:v>26079987412</x:v>
      </x:c>
      <x:c r="O89" s="42" t="n">
        <x:f>SUM(K89:N89)</x:f>
        <x:v>104374493823</x:v>
      </x:c>
      <x:c r="P89" s="45" t="n">
        <x:f>IFERROR(O89/J89,0)</x:f>
        <x:v>0.04773287282454662</x:v>
      </x:c>
    </x:row>
    <x:row r="90">
      <x:c r="A90" s="33" t="n">
        <x:v>86</x:v>
      </x:c>
      <x:c r="B90" s="30" t="str">
        <x:v>녹십자</x:v>
      </x:c>
      <x:c r="C90" s="36" t="n">
        <x:v>129679</x:v>
      </x:c>
      <x:c r="D90" s="39" t="n">
        <x:v>6280</x:v>
      </x:c>
      <x:c r="E90" s="33" t="str">
        <x:v>CFS</x:v>
      </x:c>
      <x:c r="F90" s="42" t="n">
        <x:v>383778613077</x:v>
      </x:c>
      <x:c r="G90" s="42" t="n">
        <x:v>500259622106</x:v>
      </x:c>
      <x:c r="H90" s="42" t="n">
        <x:v>609486331400</x:v>
      </x:c>
      <x:c r="I90" s="42" t="n">
        <x:v>497754527238</x:v>
      </x:c>
      <x:c r="J90" s="42" t="n">
        <x:f>SUM(F90:I90)</x:f>
        <x:v>1991279093821</x:v>
      </x:c>
      <x:c r="K90" s="42" t="n">
        <x:v>7960461110</x:v>
      </x:c>
      <x:c r="L90" s="42" t="n">
        <x:v>27371547637</x:v>
      </x:c>
      <x:c r="M90" s="42" t="n">
        <x:v>29216618161</x:v>
      </x:c>
      <x:c r="N90" s="42" t="n">
        <x:v>4601230243</x:v>
      </x:c>
      <x:c r="O90" s="42" t="n">
        <x:f>SUM(K90:N90)</x:f>
        <x:v>69149857151</x:v>
      </x:c>
      <x:c r="P90" s="45" t="n">
        <x:f>IFERROR(O90/J90,0)</x:f>
        <x:v>0.034726351200880946</x:v>
      </x:c>
    </x:row>
    <x:row r="91">
      <x:c r="A91" s="33" t="n">
        <x:v>87</x:v>
      </x:c>
      <x:c r="B91" s="30" t="str">
        <x:v>F&amp;F</x:v>
      </x:c>
      <x:c r="C91" s="36" t="n">
        <x:v>1568413</x:v>
      </x:c>
      <x:c r="D91" s="39" t="n">
        <x:v>383220</x:v>
      </x:c>
      <x:c r="E91" s="33" t="str">
        <x:v>CFS</x:v>
      </x:c>
      <x:c r="F91" s="42" t="n">
        <x:v>505616173458</x:v>
      </x:c>
      <x:c r="G91" s="42" t="n">
        <x:v>378870814153</x:v>
      </x:c>
      <x:c r="H91" s="42" t="n">
        <x:v>474257191766</x:v>
      </x:c>
      <x:c r="I91" s="42" t="n">
        <x:v>575251747519</x:v>
      </x:c>
      <x:c r="J91" s="42" t="n">
        <x:f>SUM(F91:I91)</x:f>
        <x:v>1933995926896</x:v>
      </x:c>
      <x:c r="K91" s="42" t="n">
        <x:v>123616388060</x:v>
      </x:c>
      <x:c r="L91" s="42" t="n">
        <x:v>84029901879</x:v>
      </x:c>
      <x:c r="M91" s="42" t="n">
        <x:v>128019678069</x:v>
      </x:c>
      <x:c r="N91" s="42" t="n">
        <x:v>132908182321</x:v>
      </x:c>
      <x:c r="O91" s="42" t="n">
        <x:f>SUM(K91:N91)</x:f>
        <x:v>468574150329</x:v>
      </x:c>
      <x:c r="P91" s="45" t="n">
        <x:f>IFERROR(O91/J91,0)</x:f>
        <x:v>0.2422829044325063</x:v>
      </x:c>
    </x:row>
    <x:row r="92">
      <x:c r="A92" s="33" t="n">
        <x:v>88</x:v>
      </x:c>
      <x:c r="B92" s="30" t="str">
        <x:v>한샘</x:v>
      </x:c>
      <x:c r="C92" s="36" t="n">
        <x:v>161693</x:v>
      </x:c>
      <x:c r="D92" s="39" t="n">
        <x:v>9240</x:v>
      </x:c>
      <x:c r="E92" s="33" t="str">
        <x:v>CFS</x:v>
      </x:c>
      <x:c r="F92" s="42" t="n">
        <x:v>443445641487</x:v>
      </x:c>
      <x:c r="G92" s="42" t="n">
        <x:v>459435936286</x:v>
      </x:c>
      <x:c r="H92" s="42" t="n">
        <x:v>441391785291</x:v>
      </x:c>
      <x:c r="I92" s="42" t="n">
        <x:v>400264984364</x:v>
      </x:c>
      <x:c r="J92" s="42" t="n">
        <x:f>SUM(F92:I92)</x:f>
        <x:v>1744538347428</x:v>
      </x:c>
      <x:c r="K92" s="42" t="n">
        <x:v>6439601366</x:v>
      </x:c>
      <x:c r="L92" s="42" t="n">
        <x:v>2255878741</x:v>
      </x:c>
      <x:c r="M92" s="42" t="n">
        <x:v>6844048989</x:v>
      </x:c>
      <x:c r="N92" s="42" t="n">
        <x:v>2951805766</x:v>
      </x:c>
      <x:c r="O92" s="42" t="n">
        <x:f>SUM(K92:N92)</x:f>
        <x:v>18491334862</x:v>
      </x:c>
      <x:c r="P92" s="45" t="n">
        <x:f>IFERROR(O92/J92,0)</x:f>
        <x:v>0.01059955769345057</x:v>
      </x:c>
    </x:row>
    <x:row r="93">
      <x:c r="A93" s="33" t="n">
        <x:v>89</x:v>
      </x:c>
      <x:c r="B93" s="30" t="str">
        <x:v>종근당</x:v>
      </x:c>
      <x:c r="C93" s="36" t="n">
        <x:v>992871</x:v>
      </x:c>
      <x:c r="D93" s="39" t="n">
        <x:v>185750</x:v>
      </x:c>
      <x:c r="E93" s="33" t="str">
        <x:v>CFS</x:v>
      </x:c>
      <x:c r="F93" s="42" t="n">
        <x:v>400955846488</x:v>
      </x:c>
      <x:c r="G93" s="42" t="n">
        <x:v>434849104888</x:v>
      </x:c>
      <x:c r="H93" s="42" t="n">
        <x:v>429818748658</x:v>
      </x:c>
      <x:c r="I93" s="42" t="n">
        <x:v>426780287100</x:v>
      </x:c>
      <x:c r="J93" s="42" t="n">
        <x:f>SUM(F93:I93)</x:f>
        <x:v>1692403987134</x:v>
      </x:c>
      <x:c r="K93" s="42" t="n">
        <x:v>12453255706</x:v>
      </x:c>
      <x:c r="L93" s="42" t="n">
        <x:v>23642938344</x:v>
      </x:c>
      <x:c r="M93" s="42" t="n">
        <x:v>20987243788</x:v>
      </x:c>
      <x:c r="N93" s="42" t="n">
        <x:v>23484239940</x:v>
      </x:c>
      <x:c r="O93" s="42" t="n">
        <x:f>SUM(K93:N93)</x:f>
        <x:v>80567677778</x:v>
      </x:c>
      <x:c r="P93" s="45" t="n">
        <x:f>IFERROR(O93/J93,0)</x:f>
        <x:v>0.047605464410679664</x:v>
      </x:c>
    </x:row>
    <x:row r="94">
      <x:c r="A94" s="33" t="n">
        <x:v>90</x:v>
      </x:c>
      <x:c r="B94" s="30" t="str">
        <x:v>한전KPS</x:v>
      </x:c>
      <x:c r="C94" s="36" t="n">
        <x:v>159218</x:v>
      </x:c>
      <x:c r="D94" s="39" t="n">
        <x:v>51600</x:v>
      </x:c>
      <x:c r="E94" s="33" t="str">
        <x:v>CFS</x:v>
      </x:c>
      <x:c r="F94" s="42" t="n">
        <x:v>288014489664</x:v>
      </x:c>
      <x:c r="G94" s="42" t="n">
        <x:v>453978398935</x:v>
      </x:c>
      <x:c r="H94" s="42" t="n">
        <x:v>393685554733</x:v>
      </x:c>
      <x:c r="I94" s="42" t="n">
        <x:v>440838367996</x:v>
      </x:c>
      <x:c r="J94" s="42" t="n">
        <x:f>SUM(F94:I94)</x:f>
        <x:v>1576516811328</x:v>
      </x:c>
      <x:c r="K94" s="42" t="n">
        <x:v>7799816484</x:v>
      </x:c>
      <x:c r="L94" s="42" t="n">
        <x:v>65619523206</x:v>
      </x:c>
      <x:c r="M94" s="42" t="n">
        <x:v>47431071664</x:v>
      </x:c>
      <x:c r="N94" s="42" t="n">
        <x:v>19251429730</x:v>
      </x:c>
      <x:c r="O94" s="42" t="n">
        <x:f>SUM(K94:N94)</x:f>
        <x:v>140101841084</x:v>
      </x:c>
      <x:c r="P94" s="45" t="n">
        <x:f>IFERROR(O94/J94,0)</x:f>
        <x:v>0.0888679651731613</x:v>
      </x:c>
    </x:row>
    <x:row r="95">
      <x:c r="A95" s="33" t="n">
        <x:v>91</x:v>
      </x:c>
      <x:c r="B95" s="30" t="str">
        <x:v>대웅제약</x:v>
      </x:c>
      <x:c r="C95" s="36" t="n">
        <x:v>427483</x:v>
      </x:c>
      <x:c r="D95" s="39" t="n">
        <x:v>69620</x:v>
      </x:c>
      <x:c r="E95" s="33" t="str">
        <x:v>CFS</x:v>
      </x:c>
      <x:c r="F95" s="42" t="n">
        <x:v>356487894236</x:v>
      </x:c>
      <x:c r="G95" s="42" t="n">
        <x:v>405449021657</x:v>
      </x:c>
      <x:c r="H95" s="42" t="n">
        <x:v>411832052696</x:v>
      </x:c>
      <x:c r="I95" s="42" t="n">
        <x:v>397122036740</x:v>
      </x:c>
      <x:c r="J95" s="42" t="n">
        <x:f>SUM(F95:I95)</x:f>
        <x:v>1570891005329</x:v>
      </x:c>
      <x:c r="K95" s="42" t="n">
        <x:v>38696583466</x:v>
      </x:c>
      <x:c r="L95" s="42" t="n">
        <x:v>57855685915</x:v>
      </x:c>
      <x:c r="M95" s="42" t="n">
        <x:v>56892822788</x:v>
      </x:c>
      <x:c r="N95" s="42" t="n">
        <x:v>43337323206</x:v>
      </x:c>
      <x:c r="O95" s="42" t="n">
        <x:f>SUM(K95:N95)</x:f>
        <x:v>196782415375</x:v>
      </x:c>
      <x:c r="P95" s="45" t="n">
        <x:f>IFERROR(O95/J95,0)</x:f>
        <x:v>0.12526802604855886</x:v>
      </x:c>
    </x:row>
    <x:row r="96">
      <x:c r="A96" s="33" t="n">
        <x:v>92</x:v>
      </x:c>
      <x:c r="B96" s="30" t="str">
        <x:v>한미약품</x:v>
      </x:c>
      <x:c r="C96" s="36" t="n">
        <x:v>828497</x:v>
      </x:c>
      <x:c r="D96" s="39" t="n">
        <x:v>128940</x:v>
      </x:c>
      <x:c r="E96" s="33" t="str">
        <x:v>CFS</x:v>
      </x:c>
      <x:c r="F96" s="42" t="n">
        <x:v>390948100805</x:v>
      </x:c>
      <x:c r="G96" s="42" t="n">
        <x:v>361277145258</x:v>
      </x:c>
      <x:c r="H96" s="42" t="n">
        <x:v>362345363924</x:v>
      </x:c>
      <x:c r="I96" s="42" t="n">
        <x:v>432960488776</x:v>
      </x:c>
      <x:c r="J96" s="42" t="n">
        <x:f>SUM(F96:I96)</x:f>
        <x:v>1547531098763</x:v>
      </x:c>
      <x:c r="K96" s="42" t="n">
        <x:v>59019660622</x:v>
      </x:c>
      <x:c r="L96" s="42" t="n">
        <x:v>60438495646</x:v>
      </x:c>
      <x:c r="M96" s="42" t="n">
        <x:v>55068868499</x:v>
      </x:c>
      <x:c r="N96" s="42" t="n">
        <x:v>83272065418</x:v>
      </x:c>
      <x:c r="O96" s="42" t="n">
        <x:f>SUM(K96:N96)</x:f>
        <x:v>257799090185</x:v>
      </x:c>
      <x:c r="P96" s="45" t="n">
        <x:f>IFERROR(O96/J96,0)</x:f>
        <x:v>0.166587340565284</x:v>
      </x:c>
    </x:row>
    <x:row r="97">
      <x:c r="A97" s="33" t="n">
        <x:v>93</x:v>
      </x:c>
      <x:c r="B97" s="30" t="str">
        <x:v>한진칼</x:v>
      </x:c>
      <x:c r="C97" s="36" t="n">
        <x:v>983040</x:v>
      </x:c>
      <x:c r="D97" s="39" t="n">
        <x:v>180640</x:v>
      </x:c>
      <x:c r="E97" s="33" t="str">
        <x:v>CFS</x:v>
      </x:c>
      <x:c r="F97" s="42" t="n">
        <x:v>62668004000</x:v>
      </x:c>
      <x:c r="G97" s="42" t="n">
        <x:v>70664384000</x:v>
      </x:c>
      <x:c r="H97" s="42" t="n">
        <x:v>85401720000</x:v>
      </x:c>
      <x:c r="I97" s="42" t="n">
        <x:v>79627998000</x:v>
      </x:c>
      <x:c r="J97" s="42" t="n">
        <x:f>SUM(F97:I97)</x:f>
        <x:v>298362106000</x:v>
      </x:c>
      <x:c r="K97" s="42" t="n">
        <x:v>6753069000</x:v>
      </x:c>
      <x:c r="L97" s="42" t="n">
        <x:v>9891118000</x:v>
      </x:c>
      <x:c r="M97" s="42" t="n">
        <x:v>-36555430000</x:v>
      </x:c>
      <x:c r="N97" s="42" t="n">
        <x:v>12387732000</x:v>
      </x:c>
      <x:c r="O97" s="42" t="n">
        <x:f>SUM(K97:N97)</x:f>
        <x:v>-7523511000</x:v>
      </x:c>
      <x:c r="P97" s="45" t="n">
        <x:f>IFERROR(O97/J97,0)</x:f>
        <x:v>-0.02521604067240362</x:v>
      </x:c>
    </x:row>
    <x:row r="98">
      <x:c r="A98" s="34" t="n">
        <x:v>94</x:v>
      </x:c>
      <x:c r="B98" s="31" t="str">
        <x:v>두산밥캣</x:v>
      </x:c>
      <x:c r="C98" s="37" t="n">
        <x:v>1032486</x:v>
      </x:c>
      <x:c r="D98" s="40" t="n">
        <x:v>241560</x:v>
      </x:c>
      <x:c r="E98" s="34" t="str">
        <x:v>CFS</x:v>
      </x:c>
      <x:c r="F98" s="43" t="n">
        <x:v>1444356000</x:v>
      </x:c>
      <x:c r="G98" s="43" t="n">
        <x:v>1566660000</x:v>
      </x:c>
      <x:c r="H98" s="43" t="n">
        <x:v>1529458000</x:v>
      </x:c>
      <x:c r="I98" s="43" t="n">
        <x:v>1641331000</x:v>
      </x:c>
      <x:c r="J98" s="43" t="n">
        <x:f>SUM(F98:I98)</x:f>
        <x:v>6181805000</x:v>
      </x:c>
      <x:c r="K98" s="43" t="n">
        <x:v>137708000</x:v>
      </x:c>
      <x:c r="L98" s="43" t="n">
        <x:v>145380000</x:v>
      </x:c>
      <x:c r="M98" s="43" t="n">
        <x:v>97607000</x:v>
      </x:c>
      <x:c r="N98" s="43" t="n">
        <x:v>101742000</x:v>
      </x:c>
      <x:c r="O98" s="43" t="n">
        <x:f>SUM(K98:N98)</x:f>
        <x:v>482437000</x:v>
      </x:c>
      <x:c r="P98" s="46" t="n">
        <x:f>IFERROR(O98/J98,0)</x:f>
        <x:v>0.07804144582367124</x:v>
      </x:c>
    </x:row>
    <x:row r="100" ht="24" customHeight="1">
      <x:c r="A100" s="48" t="str">
        <x:v>합계</x:v>
      </x:c>
      <x:c r="B100" s="48"/>
      <x:c r="C100" s="48"/>
      <x:c r="D100" s="48"/>
      <x:c r="E100" s="48"/>
      <x:c r="F100" s="49" t="n">
        <x:f>SUM(F5:F98)</x:f>
        <x:v>538508716531663</x:v>
      </x:c>
      <x:c r="G100" s="49" t="n">
        <x:f>SUM(G5:G98)</x:f>
        <x:v>540624336538348</x:v>
      </x:c>
      <x:c r="H100" s="49" t="n">
        <x:f>SUM(H5:H98)</x:f>
        <x:v>561471042452846</x:v>
      </x:c>
      <x:c r="I100" s="49" t="n">
        <x:f>SUM(I5:I98)</x:f>
        <x:v>589653786686349</x:v>
      </x:c>
      <x:c r="J100" s="49" t="n">
        <x:f>SUM(J5:J98)</x:f>
        <x:v>2230257882209206</x:v>
      </x:c>
      <x:c r="K100" s="49" t="n">
        <x:f>SUM(K5:K98)</x:f>
        <x:v>43015813383324</x:v>
      </x:c>
      <x:c r="L100" s="49" t="n">
        <x:f>SUM(L5:L98)</x:f>
        <x:v>39974660335903</x:v>
      </x:c>
      <x:c r="M100" s="49" t="n">
        <x:f>SUM(M5:M98)</x:f>
        <x:v>53762420481544</x:v>
      </x:c>
      <x:c r="N100" s="49" t="n">
        <x:f>SUM(N5:N98)</x:f>
        <x:v>58863894614533</x:v>
      </x:c>
      <x:c r="O100" s="49" t="n">
        <x:f>SUM(O5:O98)</x:f>
        <x:v>195616788815304</x:v>
      </x:c>
      <x:c r="P100" s="50" t="n">
        <x:f>IFERROR(O100/J100,0)</x:f>
        <x:v>0.0877103900745028</x:v>
      </x:c>
    </x:row>
  </x:sheetData>
  <x:mergeCells>
    <x:mergeCell ref="A1:P1"/>
    <x:mergeCell ref="A2:P2"/>
    <x:mergeCell ref="A3:P3"/>
    <x:mergeCell ref="A100:E100"/>
  </x:mergeCells>
  <x:pageMargins left="0.7" right="0.7" top="0.75" bottom="0.75" header="0.3" footer="0.3"/>
  <x:tableParts count="1">
    <x:tablePart xmlns:r="http://schemas.openxmlformats.org/officeDocument/2006/relationships" r:id="R9c068f707d4f47d8"/>
  </x:tableParts>
</x:worksheet>
</file>