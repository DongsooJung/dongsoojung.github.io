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2fdb3857764a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기업 실적" sheetId="1" r:id="R50807d4b7e4b4a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0000000"/>
    <x:numFmt numFmtId="201" formatCode="000000"/>
    <x:numFmt numFmtId="202" formatCode="#,##0;[Red](#,##0);-"/>
    <x:numFmt numFmtId="203" formatCode="0.0%;[Red](0.0%);-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E3A8A"/>
      <x:name val="Carlito"/>
    </x:font>
    <x:font>
      <x:sz val="9"/>
      <x:color rgb="FF475569"/>
      <x:name val="Carlito"/>
    </x:font>
    <x:font>
      <x:b/>
      <x:sz val="11"/>
      <x:color rgb="FFFFFFFF"/>
      <x:name val="Carlito"/>
    </x:font>
    <x:font>
      <x:sz val="10"/>
      <x:color rgb="FF0F17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  <x:fill>
      <x:patternFill patternType="solid">
        <x:fgColor rgb="FF1E3A8A"/>
      </x:patternFill>
    </x:fill>
  </x:fills>
  <x:borders count="8">
    <x:border/>
    <x:border>
      <x:right style="thin">
        <x:color rgb="FF93C5FD"/>
      </x:right>
    </x:border>
    <x:border>
      <x:left style="thin">
        <x:color rgb="FF93C5FD"/>
      </x:left>
      <x:right style="thin">
        <x:color rgb="FF93C5FD"/>
      </x:right>
    </x:border>
    <x:border>
      <x:left style="thin">
        <x:color rgb="FF93C5FD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double">
        <x:color rgb="FF1D4ED8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200" fontId="5" fillId="0" borderId="6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1" fontId="5" fillId="0" borderId="6" xfId="0" applyNumberFormat="1" applyFont="1" applyFill="1" applyBorder="1" applyAlignment="1">
      <x:alignment horizontal="center" vertical="center"/>
    </x:xf>
    <x:xf numFmtId="202" fontId="5" fillId="0" borderId="4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2" fontId="5" fillId="0" borderId="6" xfId="0" applyNumberFormat="1" applyFont="1" applyFill="1" applyBorder="1" applyAlignment="1">
      <x:alignment vertical="center"/>
    </x:xf>
    <x:xf numFmtId="203" fontId="5" fillId="0" borderId="4" xfId="0" applyNumberFormat="1" applyFont="1" applyFill="1" applyBorder="1" applyAlignment="1">
      <x:alignment vertical="center"/>
    </x:xf>
    <x:xf numFmtId="203" fontId="5" fillId="0" borderId="5" xfId="0" applyNumberFormat="1" applyFont="1" applyFill="1" applyBorder="1" applyAlignment="1">
      <x:alignment vertical="center"/>
    </x:xf>
    <x:xf numFmtId="203" fontId="5" fillId="0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/>
    <x:xf numFmtId="0" fontId="2" fillId="3" borderId="7" xfId="0" applyNumberFormat="1" applyFont="1" applyFill="1" applyBorder="1" applyAlignment="1">
      <x:alignment vertical="center"/>
    </x:xf>
    <x:xf numFmtId="202" fontId="2" fillId="3" borderId="7" xfId="0" applyNumberFormat="1" applyFont="1" applyFill="1" applyBorder="1" applyAlignment="1">
      <x:alignment vertical="center"/>
    </x:xf>
    <x:xf numFmtId="203" fontId="2" fillId="3" borderId="7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717ba58a804dad" /><Relationship Type="http://schemas.openxmlformats.org/officeDocument/2006/relationships/theme" Target="/xl/theme/theme1.xml" Id="R9afbe2dfcaab4c82" /><Relationship Type="http://schemas.openxmlformats.org/officeDocument/2006/relationships/sharedStrings" Target="/xl/sharedStrings.xml" Id="R340483036a8c48cf" /><Relationship Type="http://schemas.openxmlformats.org/officeDocument/2006/relationships/worksheet" Target="/xl/worksheets/sheet1.xml" Id="R50807d4b7e4b4ab6" /></Relationships>
</file>

<file path=xl/tables/table1.xml><?xml version="1.0" encoding="utf-8"?>
<x:table xmlns:x="http://schemas.openxmlformats.org/spreadsheetml/2006/main" id="1" name="OpenDart2023" displayName="OpenDart2023" ref="A4:P96" headerRowCount="1" totalsRowCount="0" totalsRowShown="0">
  <x:autoFilter ref="A4:P96"/>
  <x:tableColumns count="16">
    <x:tableColumn id="1" name="순위"/>
    <x:tableColumn id="2" name="기업명"/>
    <x:tableColumn id="3" name="법인코드"/>
    <x:tableColumn id="4" name="종목코드"/>
    <x:tableColumn id="5" name="재무제표"/>
    <x:tableColumn id="6" name="매출 1분기"/>
    <x:tableColumn id="7" name="매출 2분기"/>
    <x:tableColumn id="8" name="매출 3분기"/>
    <x:tableColumn id="9" name="매출 4분기"/>
    <x:tableColumn id="10" name="매출 누적/연간"/>
    <x:tableColumn id="11" name="영업이익 1분기"/>
    <x:tableColumn id="12" name="영업이익 2분기"/>
    <x:tableColumn id="13" name="영업이익 3분기"/>
    <x:tableColumn id="14" name="영업이익 4분기"/>
    <x:tableColumn id="15" name="영업이익 누적/연간"/>
    <x:tableColumn id="16" name="영업이익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10d7b47ea634b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2" hidden="0" customWidth="1"/>
    <x:col min="4" max="4" width="12" hidden="0" customWidth="1"/>
    <x:col min="5" max="5" width="1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3" hidden="0" customWidth="1"/>
  </x:cols>
  <x:sheetData>
    <x:row r="1" ht="30" customHeight="1">
      <x:c r="A1" s="3" t="str">
        <x:v>2023년 OpenDART 기업 분기별 매출액·영업이익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4" customHeight="1">
      <x:c r="A2" s="6" t="str">
        <x:v>공시분기: 1분기·2분기·3분기·4분기 | 기업 수: 92개 | 생성: 2026. 7. 26. AM 8:58:59 | 단위: 원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3" ht="36" customHeight="1">
      <x:c r="A3" s="10" t="str">
        <x:v>출처: https://opendart.fss.or.kr/ | OpenDART 정기보고서 기준. 연결재무제표 우선, 미제공 시 별도재무제표를 사용하며 분기 수치는 누적 금액을 검증·차감해 계산했습니다. 법인코드 또는 재무정보를 확인하지 못한 2개 기업은 합산에서 제외했습니다.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</x:row>
    <x:row r="4" ht="30" customHeight="1">
      <x:c r="A4" s="22" t="str">
        <x:v>순위</x:v>
      </x:c>
      <x:c r="B4" s="23" t="str">
        <x:v>기업명</x:v>
      </x:c>
      <x:c r="C4" s="23" t="str">
        <x:v>법인코드</x:v>
      </x:c>
      <x:c r="D4" s="23" t="str">
        <x:v>종목코드</x:v>
      </x:c>
      <x:c r="E4" s="23" t="str">
        <x:v>재무제표</x:v>
      </x:c>
      <x:c r="F4" s="23" t="str">
        <x:v>매출 1분기</x:v>
      </x:c>
      <x:c r="G4" s="23" t="str">
        <x:v>매출 2분기</x:v>
      </x:c>
      <x:c r="H4" s="23" t="str">
        <x:v>매출 3분기</x:v>
      </x:c>
      <x:c r="I4" s="23" t="str">
        <x:v>매출 4분기</x:v>
      </x:c>
      <x:c r="J4" s="23" t="str">
        <x:v>매출 누적/연간</x:v>
      </x:c>
      <x:c r="K4" s="23" t="str">
        <x:v>영업이익 1분기</x:v>
      </x:c>
      <x:c r="L4" s="23" t="str">
        <x:v>영업이익 2분기</x:v>
      </x:c>
      <x:c r="M4" s="23" t="str">
        <x:v>영업이익 3분기</x:v>
      </x:c>
      <x:c r="N4" s="23" t="str">
        <x:v>영업이익 4분기</x:v>
      </x:c>
      <x:c r="O4" s="23" t="str">
        <x:v>영업이익 누적/연간</x:v>
      </x:c>
      <x:c r="P4" s="24" t="str">
        <x:v>영업이익률</x:v>
      </x:c>
    </x:row>
    <x:row r="5">
      <x:c r="A5" s="32" t="n">
        <x:v>1</x:v>
      </x:c>
      <x:c r="B5" s="29" t="str">
        <x:v>삼성전자</x:v>
      </x:c>
      <x:c r="C5" s="35" t="n">
        <x:v>126380</x:v>
      </x:c>
      <x:c r="D5" s="38" t="n">
        <x:v>5930</x:v>
      </x:c>
      <x:c r="E5" s="32" t="str">
        <x:v>CFS</x:v>
      </x:c>
      <x:c r="F5" s="41" t="n">
        <x:v>63745371000000</x:v>
      </x:c>
      <x:c r="G5" s="41" t="n">
        <x:v>60005533000000</x:v>
      </x:c>
      <x:c r="H5" s="41" t="n">
        <x:v>67404652000000</x:v>
      </x:c>
      <x:c r="I5" s="41" t="n">
        <x:v>67779938000000</x:v>
      </x:c>
      <x:c r="J5" s="41" t="n">
        <x:f>SUM(F5:I5)</x:f>
        <x:v>258935494000000</x:v>
      </x:c>
      <x:c r="K5" s="41" t="n">
        <x:v>640178000000</x:v>
      </x:c>
      <x:c r="L5" s="41" t="n">
        <x:v>668547000000</x:v>
      </x:c>
      <x:c r="M5" s="41" t="n">
        <x:v>2433534000000</x:v>
      </x:c>
      <x:c r="N5" s="41" t="n">
        <x:v>2824717000000</x:v>
      </x:c>
      <x:c r="O5" s="41" t="n">
        <x:f>SUM(K5:N5)</x:f>
        <x:v>6566976000000</x:v>
      </x:c>
      <x:c r="P5" s="44" t="n">
        <x:f>IFERROR(O5/J5,0)</x:f>
        <x:v>0.02536143615753196</x:v>
      </x:c>
    </x:row>
    <x:row r="6">
      <x:c r="A6" s="33" t="n">
        <x:v>2</x:v>
      </x:c>
      <x:c r="B6" s="30" t="str">
        <x:v>현대자동차</x:v>
      </x:c>
      <x:c r="C6" s="36" t="n">
        <x:v>164742</x:v>
      </x:c>
      <x:c r="D6" s="39" t="n">
        <x:v>5380</x:v>
      </x:c>
      <x:c r="E6" s="33" t="str">
        <x:v>CFS</x:v>
      </x:c>
      <x:c r="F6" s="42" t="n">
        <x:v>37778693000000</x:v>
      </x:c>
      <x:c r="G6" s="42" t="n">
        <x:v>42249695000000</x:v>
      </x:c>
      <x:c r="H6" s="42" t="n">
        <x:v>41002663000000</x:v>
      </x:c>
      <x:c r="I6" s="42" t="n">
        <x:v>41632528000000</x:v>
      </x:c>
      <x:c r="J6" s="42" t="n">
        <x:f>SUM(F6:I6)</x:f>
        <x:v>162663579000000</x:v>
      </x:c>
      <x:c r="K6" s="42" t="n">
        <x:v>3592699000000</x:v>
      </x:c>
      <x:c r="L6" s="42" t="n">
        <x:v>4237931000000</x:v>
      </x:c>
      <x:c r="M6" s="42" t="n">
        <x:v>3821799000000</x:v>
      </x:c>
      <x:c r="N6" s="42" t="n">
        <x:v>3474472000000</x:v>
      </x:c>
      <x:c r="O6" s="42" t="n">
        <x:f>SUM(K6:N6)</x:f>
        <x:v>15126901000000</x:v>
      </x:c>
      <x:c r="P6" s="45" t="n">
        <x:f>IFERROR(O6/J6,0)</x:f>
        <x:v>0.09299500904255893</x:v>
      </x:c>
    </x:row>
    <x:row r="7">
      <x:c r="A7" s="33" t="n">
        <x:v>3</x:v>
      </x:c>
      <x:c r="B7" s="30" t="str">
        <x:v>기아</x:v>
      </x:c>
      <x:c r="C7" s="36" t="n">
        <x:v>106641</x:v>
      </x:c>
      <x:c r="D7" s="39" t="n">
        <x:v>270</x:v>
      </x:c>
      <x:c r="E7" s="33" t="str">
        <x:v>CFS</x:v>
      </x:c>
      <x:c r="F7" s="42" t="n">
        <x:v>23690660000000</x:v>
      </x:c>
      <x:c r="G7" s="42" t="n">
        <x:v>26244214000000</x:v>
      </x:c>
      <x:c r="H7" s="42" t="n">
        <x:v>25545392000000</x:v>
      </x:c>
      <x:c r="I7" s="42" t="n">
        <x:v>24328154000000</x:v>
      </x:c>
      <x:c r="J7" s="42" t="n">
        <x:f>SUM(F7:I7)</x:f>
        <x:v>99808420000000</x:v>
      </x:c>
      <x:c r="K7" s="42" t="n">
        <x:v>2873972000000</x:v>
      </x:c>
      <x:c r="L7" s="42" t="n">
        <x:v>3403042000000</x:v>
      </x:c>
      <x:c r="M7" s="42" t="n">
        <x:v>2865097000000</x:v>
      </x:c>
      <x:c r="N7" s="42" t="n">
        <x:v>2465762000000</x:v>
      </x:c>
      <x:c r="O7" s="42" t="n">
        <x:f>SUM(K7:N7)</x:f>
        <x:v>11607873000000</x:v>
      </x:c>
      <x:c r="P7" s="45" t="n">
        <x:f>IFERROR(O7/J7,0)</x:f>
        <x:v>0.11630154049127318</x:v>
      </x:c>
    </x:row>
    <x:row r="8">
      <x:c r="A8" s="33" t="n">
        <x:v>4</x:v>
      </x:c>
      <x:c r="B8" s="30" t="str">
        <x:v>한국전력공사</x:v>
      </x:c>
      <x:c r="C8" s="36" t="n">
        <x:v>159193</x:v>
      </x:c>
      <x:c r="D8" s="39" t="n">
        <x:v>15760</x:v>
      </x:c>
      <x:c r="E8" s="33" t="str">
        <x:v>CFS</x:v>
      </x:c>
      <x:c r="F8" s="42" t="n">
        <x:v>21594022000000</x:v>
      </x:c>
      <x:c r="G8" s="42" t="n">
        <x:v>19622495000000</x:v>
      </x:c>
      <x:c r="H8" s="42" t="n">
        <x:v>24469974000000</x:v>
      </x:c>
      <x:c r="I8" s="42" t="n">
        <x:v>22532970000000</x:v>
      </x:c>
      <x:c r="J8" s="42" t="n">
        <x:f>SUM(F8:I8)</x:f>
        <x:v>88219461000000</x:v>
      </x:c>
      <x:c r="K8" s="42" t="n">
        <x:v>-6177559000000</x:v>
      </x:c>
      <x:c r="L8" s="42" t="n">
        <x:v>-2272398000000</x:v>
      </x:c>
      <x:c r="M8" s="42" t="n">
        <x:v>1996572000000</x:v>
      </x:c>
      <x:c r="N8" s="42" t="n">
        <x:v>1911737000000</x:v>
      </x:c>
      <x:c r="O8" s="42" t="n">
        <x:f>SUM(K8:N8)</x:f>
        <x:v>-4541648000000</x:v>
      </x:c>
      <x:c r="P8" s="45" t="n">
        <x:f>IFERROR(O8/J8,0)</x:f>
        <x:v>-0.05148124856487164</x:v>
      </x:c>
    </x:row>
    <x:row r="9">
      <x:c r="A9" s="33" t="n">
        <x:v>5</x:v>
      </x:c>
      <x:c r="B9" s="30" t="str">
        <x:v>LG전자</x:v>
      </x:c>
      <x:c r="C9" s="36" t="n">
        <x:v>401731</x:v>
      </x:c>
      <x:c r="D9" s="39" t="n">
        <x:v>66570</x:v>
      </x:c>
      <x:c r="E9" s="33" t="str">
        <x:v>CFS</x:v>
      </x:c>
      <x:c r="F9" s="42" t="n">
        <x:v>20415872000000</x:v>
      </x:c>
      <x:c r="G9" s="42" t="n">
        <x:v>19998457000000</x:v>
      </x:c>
      <x:c r="H9" s="42" t="n">
        <x:v>20709340000000</x:v>
      </x:c>
      <x:c r="I9" s="42" t="n">
        <x:v>23104096000000</x:v>
      </x:c>
      <x:c r="J9" s="42" t="n">
        <x:f>SUM(F9:I9)</x:f>
        <x:v>84227765000000</x:v>
      </x:c>
      <x:c r="K9" s="42" t="n">
        <x:v>1497388000000</x:v>
      </x:c>
      <x:c r="L9" s="42" t="n">
        <x:v>741917000000</x:v>
      </x:c>
      <x:c r="M9" s="42" t="n">
        <x:v>996660000000</x:v>
      </x:c>
      <x:c r="N9" s="42" t="n">
        <x:v>313109000000</x:v>
      </x:c>
      <x:c r="O9" s="42" t="n">
        <x:f>SUM(K9:N9)</x:f>
        <x:v>3549074000000</x:v>
      </x:c>
      <x:c r="P9" s="45" t="n">
        <x:f>IFERROR(O9/J9,0)</x:f>
        <x:v>0.04213662798722013</x:v>
      </x:c>
    </x:row>
    <x:row r="10">
      <x:c r="A10" s="33" t="n">
        <x:v>6</x:v>
      </x:c>
      <x:c r="B10" s="30" t="str">
        <x:v>SK이노베이션</x:v>
      </x:c>
      <x:c r="C10" s="36" t="n">
        <x:v>631518</x:v>
      </x:c>
      <x:c r="D10" s="39" t="n">
        <x:v>96770</x:v>
      </x:c>
      <x:c r="E10" s="33" t="str">
        <x:v>CFS</x:v>
      </x:c>
      <x:c r="F10" s="42" t="n">
        <x:v>19142878672000</x:v>
      </x:c>
      <x:c r="G10" s="42" t="n">
        <x:v>18727247535000</x:v>
      </x:c>
      <x:c r="H10" s="42" t="n">
        <x:v>19889059283000</x:v>
      </x:c>
      <x:c r="I10" s="42" t="n">
        <x:v>19529300374000</x:v>
      </x:c>
      <x:c r="J10" s="42" t="n">
        <x:f>SUM(F10:I10)</x:f>
        <x:v>77288485864000</x:v>
      </x:c>
      <x:c r="K10" s="42" t="n">
        <x:v>374992462000</x:v>
      </x:c>
      <x:c r="L10" s="42" t="n">
        <x:v>-106797130000</x:v>
      </x:c>
      <x:c r="M10" s="42" t="n">
        <x:v>1563071516000</x:v>
      </x:c>
      <x:c r="N10" s="42" t="n">
        <x:v>72619472000</x:v>
      </x:c>
      <x:c r="O10" s="42" t="n">
        <x:f>SUM(K10:N10)</x:f>
        <x:v>1903886320000</x:v>
      </x:c>
      <x:c r="P10" s="45" t="n">
        <x:f>IFERROR(O10/J10,0)</x:f>
        <x:v>0.024633505220300948</x:v>
      </x:c>
    </x:row>
    <x:row r="11">
      <x:c r="A11" s="33" t="n">
        <x:v>7</x:v>
      </x:c>
      <x:c r="B11" s="30" t="str">
        <x:v>HD현대</x:v>
      </x:c>
      <x:c r="C11" s="36" t="n">
        <x:v>1205709</x:v>
      </x:c>
      <x:c r="D11" s="39" t="n">
        <x:v>267250</x:v>
      </x:c>
      <x:c r="E11" s="33" t="str">
        <x:v>CFS</x:v>
      </x:c>
      <x:c r="F11" s="42" t="n">
        <x:v>15273970667000</x:v>
      </x:c>
      <x:c r="G11" s="42" t="n">
        <x:v>15621284613000</x:v>
      </x:c>
      <x:c r="H11" s="42" t="n">
        <x:v>13723241092000</x:v>
      </x:c>
      <x:c r="I11" s="42" t="n">
        <x:v>16712806413000</x:v>
      </x:c>
      <x:c r="J11" s="42" t="n">
        <x:f>SUM(F11:I11)</x:f>
        <x:v>61331302785000</x:v>
      </x:c>
      <x:c r="K11" s="42" t="n">
        <x:v>533398974000</x:v>
      </x:c>
      <x:c r="L11" s="42" t="n">
        <x:v>472552175000</x:v>
      </x:c>
      <x:c r="M11" s="42" t="n">
        <x:v>667737987000</x:v>
      </x:c>
      <x:c r="N11" s="42" t="n">
        <x:v>357874451000</x:v>
      </x:c>
      <x:c r="O11" s="42" t="n">
        <x:f>SUM(K11:N11)</x:f>
        <x:v>2031563587000</x:v>
      </x:c>
      <x:c r="P11" s="45" t="n">
        <x:f>IFERROR(O11/J11,0)</x:f>
        <x:v>0.0331244159955602</x:v>
      </x:c>
    </x:row>
    <x:row r="12">
      <x:c r="A12" s="33" t="n">
        <x:v>8</x:v>
      </x:c>
      <x:c r="B12" s="30" t="str">
        <x:v>현대모비스</x:v>
      </x:c>
      <x:c r="C12" s="36" t="n">
        <x:v>164788</x:v>
      </x:c>
      <x:c r="D12" s="39" t="n">
        <x:v>12330</x:v>
      </x:c>
      <x:c r="E12" s="33" t="str">
        <x:v>CFS</x:v>
      </x:c>
      <x:c r="F12" s="42" t="n">
        <x:v>14666974000000</x:v>
      </x:c>
      <x:c r="G12" s="42" t="n">
        <x:v>15684944000000</x:v>
      </x:c>
      <x:c r="H12" s="42" t="n">
        <x:v>14230244000000</x:v>
      </x:c>
      <x:c r="I12" s="42" t="n">
        <x:v>14672199000000</x:v>
      </x:c>
      <x:c r="J12" s="42" t="n">
        <x:f>SUM(F12:I12)</x:f>
        <x:v>59254361000000</x:v>
      </x:c>
      <x:c r="K12" s="42" t="n">
        <x:v>418093000000</x:v>
      </x:c>
      <x:c r="L12" s="42" t="n">
        <x:v>663767000000</x:v>
      </x:c>
      <x:c r="M12" s="42" t="n">
        <x:v>690208000000</x:v>
      </x:c>
      <x:c r="N12" s="42" t="n">
        <x:v>523216000000</x:v>
      </x:c>
      <x:c r="O12" s="42" t="n">
        <x:f>SUM(K12:N12)</x:f>
        <x:v>2295284000000</x:v>
      </x:c>
      <x:c r="P12" s="45" t="n">
        <x:f>IFERROR(O12/J12,0)</x:f>
        <x:v>0.03873611935499566</x:v>
      </x:c>
    </x:row>
    <x:row r="13">
      <x:c r="A13" s="33" t="n">
        <x:v>9</x:v>
      </x:c>
      <x:c r="B13" s="30" t="str">
        <x:v>LG화학</x:v>
      </x:c>
      <x:c r="C13" s="36" t="n">
        <x:v>356361</x:v>
      </x:c>
      <x:c r="D13" s="39" t="n">
        <x:v>51910</x:v>
      </x:c>
      <x:c r="E13" s="33" t="str">
        <x:v>CFS</x:v>
      </x:c>
      <x:c r="F13" s="42" t="n">
        <x:v>14486266000000</x:v>
      </x:c>
      <x:c r="G13" s="42" t="n">
        <x:v>14541521000000</x:v>
      </x:c>
      <x:c r="H13" s="42" t="n">
        <x:v>13494826000000</x:v>
      </x:c>
      <x:c r="I13" s="42" t="n">
        <x:v>13134802000000</x:v>
      </x:c>
      <x:c r="J13" s="42" t="n">
        <x:f>SUM(F13:I13)</x:f>
        <x:v>55657415000000</x:v>
      </x:c>
      <x:c r="K13" s="42" t="n">
        <x:v>791025000000</x:v>
      </x:c>
      <x:c r="L13" s="42" t="n">
        <x:v>615559000000</x:v>
      </x:c>
      <x:c r="M13" s="42" t="n">
        <x:v>860426000000</x:v>
      </x:c>
      <x:c r="N13" s="42" t="n">
        <x:v>247427000000</x:v>
      </x:c>
      <x:c r="O13" s="42" t="n">
        <x:f>SUM(K13:N13)</x:f>
        <x:v>2514437000000</x:v>
      </x:c>
      <x:c r="P13" s="45" t="n">
        <x:f>IFERROR(O13/J13,0)</x:f>
        <x:v>0.04517703526115972</x:v>
      </x:c>
    </x:row>
    <x:row r="14">
      <x:c r="A14" s="33" t="n">
        <x:v>10</x:v>
      </x:c>
      <x:c r="B14" s="30" t="str">
        <x:v>한화</x:v>
      </x:c>
      <x:c r="C14" s="36" t="n">
        <x:v>160588</x:v>
      </x:c>
      <x:c r="D14" s="39" t="n">
        <x:v>880</x:v>
      </x:c>
      <x:c r="E14" s="33" t="str">
        <x:v>CFS</x:v>
      </x:c>
      <x:c r="F14" s="42" t="n">
        <x:v>14402415000000</x:v>
      </x:c>
      <x:c r="G14" s="42" t="n">
        <x:v>12146829000000</x:v>
      </x:c>
      <x:c r="H14" s="42" t="n">
        <x:v>11939271000000</x:v>
      </x:c>
      <x:c r="I14" s="42" t="n">
        <x:v>14476040000000</x:v>
      </x:c>
      <x:c r="J14" s="42" t="n">
        <x:f>SUM(F14:I14)</x:f>
        <x:v>52964555000000</x:v>
      </x:c>
      <x:c r="K14" s="42" t="n">
        <x:v>1373780000000</x:v>
      </x:c>
      <x:c r="L14" s="42" t="n">
        <x:v>298709000000</x:v>
      </x:c>
      <x:c r="M14" s="42" t="n">
        <x:v>507727000000</x:v>
      </x:c>
      <x:c r="N14" s="42" t="n">
        <x:v>231704000000</x:v>
      </x:c>
      <x:c r="O14" s="42" t="n">
        <x:f>SUM(K14:N14)</x:f>
        <x:v>2411920000000</x:v>
      </x:c>
      <x:c r="P14" s="45" t="n">
        <x:f>IFERROR(O14/J14,0)</x:f>
        <x:v>0.0455383793935397</x:v>
      </x:c>
    </x:row>
    <x:row r="15">
      <x:c r="A15" s="33" t="n">
        <x:v>11</x:v>
      </x:c>
      <x:c r="B15" s="30" t="str">
        <x:v>한국가스공사</x:v>
      </x:c>
      <x:c r="C15" s="36" t="n">
        <x:v>261285</x:v>
      </x:c>
      <x:c r="D15" s="39" t="n">
        <x:v>36460</x:v>
      </x:c>
      <x:c r="E15" s="33" t="str">
        <x:v>CFS</x:v>
      </x:c>
      <x:c r="F15" s="42" t="n">
        <x:v>17929949415003</x:v>
      </x:c>
      <x:c r="G15" s="42" t="n">
        <x:v>8127613293964</x:v>
      </x:c>
      <x:c r="H15" s="42" t="n">
        <x:v>7889265848742</x:v>
      </x:c>
      <x:c r="I15" s="42" t="n">
        <x:v>10609166457318</x:v>
      </x:c>
      <x:c r="J15" s="42" t="n">
        <x:f>SUM(F15:I15)</x:f>
        <x:v>44555995015027</x:v>
      </x:c>
      <x:c r="K15" s="42" t="n">
        <x:v>588378941453</x:v>
      </x:c>
      <x:c r="L15" s="42" t="n">
        <x:v>205031295927</x:v>
      </x:c>
      <x:c r="M15" s="42" t="n">
        <x:v>230369869556</x:v>
      </x:c>
      <x:c r="N15" s="42" t="n">
        <x:v>529638750662</x:v>
      </x:c>
      <x:c r="O15" s="42" t="n">
        <x:f>SUM(K15:N15)</x:f>
        <x:v>1553418857598</x:v>
      </x:c>
      <x:c r="P15" s="45" t="n">
        <x:f>IFERROR(O15/J15,0)</x:f>
        <x:v>0.034864418515939154</x:v>
      </x:c>
    </x:row>
    <x:row r="16">
      <x:c r="A16" s="33" t="n">
        <x:v>12</x:v>
      </x:c>
      <x:c r="B16" s="30" t="str">
        <x:v>삼성물산</x:v>
      </x:c>
      <x:c r="C16" s="36" t="n">
        <x:v>149655</x:v>
      </x:c>
      <x:c r="D16" s="39" t="n">
        <x:v>28260</x:v>
      </x:c>
      <x:c r="E16" s="33" t="str">
        <x:v>CFS</x:v>
      </x:c>
      <x:c r="F16" s="42" t="n">
        <x:v>10238589057337</x:v>
      </x:c>
      <x:c r="G16" s="42" t="n">
        <x:v>10586155914043</x:v>
      </x:c>
      <x:c r="H16" s="42" t="n">
        <x:v>10971189893114</x:v>
      </x:c>
      <x:c r="I16" s="42" t="n">
        <x:v>10099746351240</x:v>
      </x:c>
      <x:c r="J16" s="42" t="n">
        <x:f>SUM(F16:I16)</x:f>
        <x:v>41895681215734</x:v>
      </x:c>
      <x:c r="K16" s="42" t="n">
        <x:v>640516775107</x:v>
      </x:c>
      <x:c r="L16" s="42" t="n">
        <x:v>772319230125</x:v>
      </x:c>
      <x:c r="M16" s="42" t="n">
        <x:v>830371118895</x:v>
      </x:c>
      <x:c r="N16" s="42" t="n">
        <x:v>626966692726</x:v>
      </x:c>
      <x:c r="O16" s="42" t="n">
        <x:f>SUM(K16:N16)</x:f>
        <x:v>2870173816853</x:v>
      </x:c>
      <x:c r="P16" s="45" t="n">
        <x:f>IFERROR(O16/J16,0)</x:f>
        <x:v>0.06850762975003498</x:v>
      </x:c>
    </x:row>
    <x:row r="17">
      <x:c r="A17" s="33" t="n">
        <x:v>13</x:v>
      </x:c>
      <x:c r="B17" s="30" t="str">
        <x:v>S-Oil</x:v>
      </x:c>
      <x:c r="C17" s="36" t="n">
        <x:v>138279</x:v>
      </x:c>
      <x:c r="D17" s="39" t="n">
        <x:v>10950</x:v>
      </x:c>
      <x:c r="E17" s="33" t="str">
        <x:v>CFS</x:v>
      </x:c>
      <x:c r="F17" s="42" t="n">
        <x:v>9077635000000</x:v>
      </x:c>
      <x:c r="G17" s="42" t="n">
        <x:v>7819591000000</x:v>
      </x:c>
      <x:c r="H17" s="42" t="n">
        <x:v>8999555000000</x:v>
      </x:c>
      <x:c r="I17" s="42" t="n">
        <x:v>9829913000000</x:v>
      </x:c>
      <x:c r="J17" s="42" t="n">
        <x:f>SUM(F17:I17)</x:f>
        <x:v>35726694000000</x:v>
      </x:c>
      <x:c r="K17" s="42" t="n">
        <x:v>515688000000</x:v>
      </x:c>
      <x:c r="L17" s="42" t="n">
        <x:v>36418000000</x:v>
      </x:c>
      <x:c r="M17" s="42" t="n">
        <x:v>858880000000</x:v>
      </x:c>
      <x:c r="N17" s="42" t="n">
        <x:v>-56404000000</x:v>
      </x:c>
      <x:c r="O17" s="42" t="n">
        <x:f>SUM(K17:N17)</x:f>
        <x:v>1354582000000</x:v>
      </x:c>
      <x:c r="P17" s="45" t="n">
        <x:f>IFERROR(O17/J17,0)</x:f>
        <x:v>0.037915123072960515</x:v>
      </x:c>
    </x:row>
    <x:row r="18">
      <x:c r="A18" s="33" t="n">
        <x:v>14</x:v>
      </x:c>
      <x:c r="B18" s="30" t="str">
        <x:v>SK하이닉스</x:v>
      </x:c>
      <x:c r="C18" s="36" t="n">
        <x:v>164779</x:v>
      </x:c>
      <x:c r="D18" s="39" t="n">
        <x:v>660</x:v>
      </x:c>
      <x:c r="E18" s="33" t="str">
        <x:v>CFS</x:v>
      </x:c>
      <x:c r="F18" s="42" t="n">
        <x:v>5088111000000</x:v>
      </x:c>
      <x:c r="G18" s="42" t="n">
        <x:v>7305933000000</x:v>
      </x:c>
      <x:c r="H18" s="42" t="n">
        <x:v>9066171000000</x:v>
      </x:c>
      <x:c r="I18" s="42" t="n">
        <x:v>11305505000000</x:v>
      </x:c>
      <x:c r="J18" s="42" t="n">
        <x:f>SUM(F18:I18)</x:f>
        <x:v>32765720000000</x:v>
      </x:c>
      <x:c r="K18" s="42" t="n">
        <x:v>-3402302000000</x:v>
      </x:c>
      <x:c r="L18" s="42" t="n">
        <x:v>-2882084000000</x:v>
      </x:c>
      <x:c r="M18" s="42" t="n">
        <x:v>-1791961000000</x:v>
      </x:c>
      <x:c r="N18" s="42" t="n">
        <x:v>346034000000</x:v>
      </x:c>
      <x:c r="O18" s="42" t="n">
        <x:f>SUM(K18:N18)</x:f>
        <x:v>-7730313000000</x:v>
      </x:c>
      <x:c r="P18" s="45" t="n">
        <x:f>IFERROR(O18/J18,0)</x:f>
        <x:v>-0.23592684671662945</x:v>
      </x:c>
    </x:row>
    <x:row r="19">
      <x:c r="A19" s="33" t="n">
        <x:v>15</x:v>
      </x:c>
      <x:c r="B19" s="30" t="str">
        <x:v>현대건설</x:v>
      </x:c>
      <x:c r="C19" s="36" t="n">
        <x:v>164478</x:v>
      </x:c>
      <x:c r="D19" s="39" t="n">
        <x:v>720</x:v>
      </x:c>
      <x:c r="E19" s="33" t="str">
        <x:v>CFS</x:v>
      </x:c>
      <x:c r="F19" s="42" t="n">
        <x:v>6031081000000</x:v>
      </x:c>
      <x:c r="G19" s="42" t="n">
        <x:v>7163359000000</x:v>
      </x:c>
      <x:c r="H19" s="42" t="n">
        <x:v>7858530000000</x:v>
      </x:c>
      <x:c r="I19" s="42" t="n">
        <x:v>8598387000000</x:v>
      </x:c>
      <x:c r="J19" s="42" t="n">
        <x:f>SUM(F19:I19)</x:f>
        <x:v>29651357000000</x:v>
      </x:c>
      <x:c r="K19" s="42" t="n">
        <x:v>173512000000</x:v>
      </x:c>
      <x:c r="L19" s="42" t="n">
        <x:v>223551000000</x:v>
      </x:c>
      <x:c r="M19" s="42" t="n">
        <x:v>243869000000</x:v>
      </x:c>
      <x:c r="N19" s="42" t="n">
        <x:v>144498000000</x:v>
      </x:c>
      <x:c r="O19" s="42" t="n">
        <x:f>SUM(K19:N19)</x:f>
        <x:v>785430000000</x:v>
      </x:c>
      <x:c r="P19" s="45" t="n">
        <x:f>IFERROR(O19/J19,0)</x:f>
        <x:v>0.026488838268009116</x:v>
      </x:c>
    </x:row>
    <x:row r="20">
      <x:c r="A20" s="33" t="n">
        <x:v>16</x:v>
      </x:c>
      <x:c r="B20" s="30" t="str">
        <x:v>이마트</x:v>
      </x:c>
      <x:c r="C20" s="36" t="n">
        <x:v>872984</x:v>
      </x:c>
      <x:c r="D20" s="39" t="n">
        <x:v>139480</x:v>
      </x:c>
      <x:c r="E20" s="33" t="str">
        <x:v>CFS</x:v>
      </x:c>
      <x:c r="F20" s="42" t="n">
        <x:v>7135389362508</x:v>
      </x:c>
      <x:c r="G20" s="42" t="n">
        <x:v>7271088783543</x:v>
      </x:c>
      <x:c r="H20" s="42" t="n">
        <x:v>7709646661648</x:v>
      </x:c>
      <x:c r="I20" s="42" t="n">
        <x:v>7356123086760</x:v>
      </x:c>
      <x:c r="J20" s="42" t="n">
        <x:f>SUM(F20:I20)</x:f>
        <x:v>29472247894459</x:v>
      </x:c>
      <x:c r="K20" s="42" t="n">
        <x:v>13653087686</x:v>
      </x:c>
      <x:c r="L20" s="42" t="n">
        <x:v>-53004137899</x:v>
      </x:c>
      <x:c r="M20" s="42" t="n">
        <x:v>77916079476</x:v>
      </x:c>
      <x:c r="N20" s="42" t="n">
        <x:v>-85500460606</x:v>
      </x:c>
      <x:c r="O20" s="42" t="n">
        <x:f>SUM(K20:N20)</x:f>
        <x:v>-46935431343</x:v>
      </x:c>
      <x:c r="P20" s="45" t="n">
        <x:f>IFERROR(O20/J20,0)</x:f>
        <x:v>-0.001592529742253702</x:v>
      </x:c>
    </x:row>
    <x:row r="21">
      <x:c r="A21" s="33" t="n">
        <x:v>17</x:v>
      </x:c>
      <x:c r="B21" s="30" t="str">
        <x:v>CJ제일제당</x:v>
      </x:c>
      <x:c r="C21" s="36" t="n">
        <x:v>635134</x:v>
      </x:c>
      <x:c r="D21" s="39" t="n">
        <x:v>97950</x:v>
      </x:c>
      <x:c r="E21" s="33" t="str">
        <x:v>CFS</x:v>
      </x:c>
      <x:c r="F21" s="42" t="n">
        <x:v>7071159309000</x:v>
      </x:c>
      <x:c r="G21" s="42" t="n">
        <x:v>7219425483000</x:v>
      </x:c>
      <x:c r="H21" s="42" t="n">
        <x:v>7443449063000</x:v>
      </x:c>
      <x:c r="I21" s="42" t="n">
        <x:v>7289439054000</x:v>
      </x:c>
      <x:c r="J21" s="42" t="n">
        <x:f>SUM(F21:I21)</x:f>
        <x:v>29023472909000</x:v>
      </x:c>
      <x:c r="K21" s="42" t="n">
        <x:v>252780577000</x:v>
      </x:c>
      <x:c r="L21" s="42" t="n">
        <x:v>344555465000</x:v>
      </x:c>
      <x:c r="M21" s="42" t="n">
        <x:v>395977845000</x:v>
      </x:c>
      <x:c r="N21" s="42" t="n">
        <x:v>298268526000</x:v>
      </x:c>
      <x:c r="O21" s="42" t="n">
        <x:f>SUM(K21:N21)</x:f>
        <x:v>1291582413000</x:v>
      </x:c>
      <x:c r="P21" s="45" t="n">
        <x:f>IFERROR(O21/J21,0)</x:f>
        <x:v>0.04450130475596834</x:v>
      </x:c>
    </x:row>
    <x:row r="22">
      <x:c r="A22" s="33" t="n">
        <x:v>18</x:v>
      </x:c>
      <x:c r="B22" s="30" t="str">
        <x:v>KT</x:v>
      </x:c>
      <x:c r="C22" s="36" t="n">
        <x:v>190321</x:v>
      </x:c>
      <x:c r="D22" s="39" t="n">
        <x:v>30200</x:v>
      </x:c>
      <x:c r="E22" s="33" t="str">
        <x:v>CFS</x:v>
      </x:c>
      <x:c r="F22" s="42" t="n">
        <x:v>6443676000000</x:v>
      </x:c>
      <x:c r="G22" s="42" t="n">
        <x:v>6547521000000</x:v>
      </x:c>
      <x:c r="H22" s="42" t="n">
        <x:v>6697442000000</x:v>
      </x:c>
      <x:c r="I22" s="42" t="n">
        <x:v>6687634000000</x:v>
      </x:c>
      <x:c r="J22" s="42" t="n">
        <x:f>SUM(F22:I22)</x:f>
        <x:v>26376273000000</x:v>
      </x:c>
      <x:c r="K22" s="42" t="n">
        <x:v>486105000000</x:v>
      </x:c>
      <x:c r="L22" s="42" t="n">
        <x:v>576108000000</x:v>
      </x:c>
      <x:c r="M22" s="42" t="n">
        <x:v>321933000000</x:v>
      </x:c>
      <x:c r="N22" s="42" t="n">
        <x:v>265628000000</x:v>
      </x:c>
      <x:c r="O22" s="42" t="n">
        <x:f>SUM(K22:N22)</x:f>
        <x:v>1649774000000</x:v>
      </x:c>
      <x:c r="P22" s="45" t="n">
        <x:f>IFERROR(O22/J22,0)</x:f>
        <x:v>0.06254765409806003</x:v>
      </x:c>
    </x:row>
    <x:row r="23">
      <x:c r="A23" s="33" t="n">
        <x:v>19</x:v>
      </x:c>
      <x:c r="B23" s="30" t="str">
        <x:v>현대제철</x:v>
      </x:c>
      <x:c r="C23" s="36" t="n">
        <x:v>145880</x:v>
      </x:c>
      <x:c r="D23" s="39" t="n">
        <x:v>4020</x:v>
      </x:c>
      <x:c r="E23" s="33" t="str">
        <x:v>CFS</x:v>
      </x:c>
      <x:c r="F23" s="42" t="n">
        <x:v>6389050489305</x:v>
      </x:c>
      <x:c r="G23" s="42" t="n">
        <x:v>7138316741671</x:v>
      </x:c>
      <x:c r="H23" s="42" t="n">
        <x:v>6283196286286</x:v>
      </x:c>
      <x:c r="I23" s="42" t="n">
        <x:v>6104196938905</x:v>
      </x:c>
      <x:c r="J23" s="42" t="n">
        <x:f>SUM(F23:I23)</x:f>
        <x:v>25914760456167</x:v>
      </x:c>
      <x:c r="K23" s="42" t="n">
        <x:v>333909838550</x:v>
      </x:c>
      <x:c r="L23" s="42" t="n">
        <x:v>465075677896</x:v>
      </x:c>
      <x:c r="M23" s="42" t="n">
        <x:v>228402032234</x:v>
      </x:c>
      <x:c r="N23" s="42" t="n">
        <x:v>-229062480607</x:v>
      </x:c>
      <x:c r="O23" s="42" t="n">
        <x:f>SUM(K23:N23)</x:f>
        <x:v>798325068073</x:v>
      </x:c>
      <x:c r="P23" s="45" t="n">
        <x:f>IFERROR(O23/J23,0)</x:f>
        <x:v>0.030805805418240732</x:v>
      </x:c>
    </x:row>
    <x:row r="24">
      <x:c r="A24" s="33" t="n">
        <x:v>20</x:v>
      </x:c>
      <x:c r="B24" s="30" t="str">
        <x:v>현대글로비스</x:v>
      </x:c>
      <x:c r="C24" s="36" t="n">
        <x:v>360595</x:v>
      </x:c>
      <x:c r="D24" s="39" t="n">
        <x:v>86280</x:v>
      </x:c>
      <x:c r="E24" s="33" t="str">
        <x:v>CFS</x:v>
      </x:c>
      <x:c r="F24" s="42" t="n">
        <x:v>6300834939614</x:v>
      </x:c>
      <x:c r="G24" s="42" t="n">
        <x:v>6534823929391</x:v>
      </x:c>
      <x:c r="H24" s="42" t="n">
        <x:v>6330132579465</x:v>
      </x:c>
      <x:c r="I24" s="42" t="n">
        <x:v>6517405715594</x:v>
      </x:c>
      <x:c r="J24" s="42" t="n">
        <x:f>SUM(F24:I24)</x:f>
        <x:v>25683197164064</x:v>
      </x:c>
      <x:c r="K24" s="42" t="n">
        <x:v>406570427616</x:v>
      </x:c>
      <x:c r="L24" s="42" t="n">
        <x:v>412564259573</x:v>
      </x:c>
      <x:c r="M24" s="42" t="n">
        <x:v>384236710800</x:v>
      </x:c>
      <x:c r="N24" s="42" t="n">
        <x:v>350661112098</x:v>
      </x:c>
      <x:c r="O24" s="42" t="n">
        <x:f>SUM(K24:N24)</x:f>
        <x:v>1554032510087</x:v>
      </x:c>
      <x:c r="P24" s="45" t="n">
        <x:f>IFERROR(O24/J24,0)</x:f>
        <x:v>0.06050775143607925</x:v>
      </x:c>
    </x:row>
    <x:row r="25">
      <x:c r="A25" s="33" t="n">
        <x:v>21</x:v>
      </x:c>
      <x:c r="B25" s="30" t="str">
        <x:v>LS</x:v>
      </x:c>
      <x:c r="C25" s="36" t="n">
        <x:v>105952</x:v>
      </x:c>
      <x:c r="D25" s="39" t="n">
        <x:v>6260</x:v>
      </x:c>
      <x:c r="E25" s="33" t="str">
        <x:v>CFS</x:v>
      </x:c>
      <x:c r="F25" s="42" t="n">
        <x:v>6098457000000</x:v>
      </x:c>
      <x:c r="G25" s="42" t="n">
        <x:v>6509327000000</x:v>
      </x:c>
      <x:c r="H25" s="42" t="n">
        <x:v>6013860000000</x:v>
      </x:c>
      <x:c r="I25" s="42" t="n">
        <x:v>5859099000000</x:v>
      </x:c>
      <x:c r="J25" s="42" t="n">
        <x:f>SUM(F25:I25)</x:f>
        <x:v>24480743000000</x:v>
      </x:c>
      <x:c r="K25" s="42" t="n">
        <x:v>238199000000</x:v>
      </x:c>
      <x:c r="L25" s="42" t="n">
        <x:v>281581000000</x:v>
      </x:c>
      <x:c r="M25" s="42" t="n">
        <x:v>226243000000</x:v>
      </x:c>
      <x:c r="N25" s="42" t="n">
        <x:v>153651000000</x:v>
      </x:c>
      <x:c r="O25" s="42" t="n">
        <x:f>SUM(K25:N25)</x:f>
        <x:v>899674000000</x:v>
      </x:c>
      <x:c r="P25" s="45" t="n">
        <x:f>IFERROR(O25/J25,0)</x:f>
        <x:v>0.0367502734700495</x:v>
      </x:c>
    </x:row>
    <x:row r="26">
      <x:c r="A26" s="33" t="n">
        <x:v>22</x:v>
      </x:c>
      <x:c r="B26" s="30" t="str">
        <x:v>삼성SDI</x:v>
      </x:c>
      <x:c r="C26" s="36" t="n">
        <x:v>126362</x:v>
      </x:c>
      <x:c r="D26" s="39" t="n">
        <x:v>6400</x:v>
      </x:c>
      <x:c r="E26" s="33" t="str">
        <x:v>CFS</x:v>
      </x:c>
      <x:c r="F26" s="42" t="n">
        <x:v>5354844754963</x:v>
      </x:c>
      <x:c r="G26" s="42" t="n">
        <x:v>5840582434068</x:v>
      </x:c>
      <x:c r="H26" s="42" t="n">
        <x:v>5948108273682</x:v>
      </x:c>
      <x:c r="I26" s="42" t="n">
        <x:v>5564765035920</x:v>
      </x:c>
      <x:c r="J26" s="42" t="n">
        <x:f>SUM(F26:I26)</x:f>
        <x:v>22708300498633</x:v>
      </x:c>
      <x:c r="K26" s="42" t="n">
        <x:v>375384853209</x:v>
      </x:c>
      <x:c r="L26" s="42" t="n">
        <x:v>450192670421</x:v>
      </x:c>
      <x:c r="M26" s="42" t="n">
        <x:v>496003670489</x:v>
      </x:c>
      <x:c r="N26" s="42" t="n">
        <x:v>311787770649</x:v>
      </x:c>
      <x:c r="O26" s="42" t="n">
        <x:f>SUM(K26:N26)</x:f>
        <x:v>1633368964768</x:v>
      </x:c>
      <x:c r="P26" s="45" t="n">
        <x:f>IFERROR(O26/J26,0)</x:f>
        <x:v>0.07192827859867039</x:v>
      </x:c>
    </x:row>
    <x:row r="27">
      <x:c r="A27" s="33" t="n">
        <x:v>23</x:v>
      </x:c>
      <x:c r="B27" s="30" t="str">
        <x:v>LG디스플레이</x:v>
      </x:c>
      <x:c r="C27" s="36" t="n">
        <x:v>105873</x:v>
      </x:c>
      <x:c r="D27" s="39" t="n">
        <x:v>34220</x:v>
      </x:c>
      <x:c r="E27" s="33" t="str">
        <x:v>CFS</x:v>
      </x:c>
      <x:c r="F27" s="42" t="n">
        <x:v>4411056000000</x:v>
      </x:c>
      <x:c r="G27" s="42" t="n">
        <x:v>4738571000000</x:v>
      </x:c>
      <x:c r="H27" s="42" t="n">
        <x:v>4785287000000</x:v>
      </x:c>
      <x:c r="I27" s="42" t="n">
        <x:v>7395905000000</x:v>
      </x:c>
      <x:c r="J27" s="42" t="n">
        <x:f>SUM(F27:I27)</x:f>
        <x:v>21330819000000</x:v>
      </x:c>
      <x:c r="K27" s="42" t="n">
        <x:v>-1098358000000</x:v>
      </x:c>
      <x:c r="L27" s="42" t="n">
        <x:v>-881470000000</x:v>
      </x:c>
      <x:c r="M27" s="42" t="n">
        <x:v>-662080000000</x:v>
      </x:c>
      <x:c r="N27" s="42" t="n">
        <x:v>131744000000</x:v>
      </x:c>
      <x:c r="O27" s="42" t="n">
        <x:f>SUM(K27:N27)</x:f>
        <x:v>-2510164000000</x:v>
      </x:c>
      <x:c r="P27" s="45" t="n">
        <x:f>IFERROR(O27/J27,0)</x:f>
        <x:v>-0.11767780693277646</x:v>
      </x:c>
    </x:row>
    <x:row r="28">
      <x:c r="A28" s="33" t="n">
        <x:v>24</x:v>
      </x:c>
      <x:c r="B28" s="30" t="str">
        <x:v>HD한국조선해양</x:v>
      </x:c>
      <x:c r="C28" s="36" t="n">
        <x:v>164830</x:v>
      </x:c>
      <x:c r="D28" s="39" t="n">
        <x:v>9540</x:v>
      </x:c>
      <x:c r="E28" s="33" t="str">
        <x:v>CFS</x:v>
      </x:c>
      <x:c r="F28" s="42" t="n">
        <x:v>4842359485000</x:v>
      </x:c>
      <x:c r="G28" s="42" t="n">
        <x:v>5453640001000</x:v>
      </x:c>
      <x:c r="H28" s="42" t="n">
        <x:v>5011205861000</x:v>
      </x:c>
      <x:c r="I28" s="42" t="n">
        <x:v>5989000227000</x:v>
      </x:c>
      <x:c r="J28" s="42" t="n">
        <x:f>SUM(F28:I28)</x:f>
        <x:v>21296205574000</x:v>
      </x:c>
      <x:c r="K28" s="42" t="n">
        <x:v>-19044257000</x:v>
      </x:c>
      <x:c r="L28" s="42" t="n">
        <x:v>71256596000</x:v>
      </x:c>
      <x:c r="M28" s="42" t="n">
        <x:v>68957352000</x:v>
      </x:c>
      <x:c r="N28" s="42" t="n">
        <x:v>161091028000</x:v>
      </x:c>
      <x:c r="O28" s="42" t="n">
        <x:f>SUM(K28:N28)</x:f>
        <x:v>282260719000</x:v>
      </x:c>
      <x:c r="P28" s="45" t="n">
        <x:f>IFERROR(O28/J28,0)</x:f>
        <x:v>0.01325403805007428</x:v>
      </x:c>
    </x:row>
    <x:row r="29">
      <x:c r="A29" s="33" t="n">
        <x:v>25</x:v>
      </x:c>
      <x:c r="B29" s="30" t="str">
        <x:v>LG이노텍</x:v>
      </x:c>
      <x:c r="C29" s="36" t="n">
        <x:v>105961</x:v>
      </x:c>
      <x:c r="D29" s="39" t="n">
        <x:v>11070</x:v>
      </x:c>
      <x:c r="E29" s="33" t="str">
        <x:v>CFS</x:v>
      </x:c>
      <x:c r="F29" s="42" t="n">
        <x:v>4375862101558</x:v>
      </x:c>
      <x:c r="G29" s="42" t="n">
        <x:v>3907208706433</x:v>
      </x:c>
      <x:c r="H29" s="42" t="n">
        <x:v>4763581195309</x:v>
      </x:c>
      <x:c r="I29" s="42" t="n">
        <x:v>7558637996700</x:v>
      </x:c>
      <x:c r="J29" s="42" t="n">
        <x:f>SUM(F29:I29)</x:f>
        <x:v>20605290000000</x:v>
      </x:c>
      <x:c r="K29" s="42" t="n">
        <x:v>145343912758</x:v>
      </x:c>
      <x:c r="L29" s="42" t="n">
        <x:v>18359658802</x:v>
      </x:c>
      <x:c r="M29" s="42" t="n">
        <x:v>183430623977</x:v>
      </x:c>
      <x:c r="N29" s="42" t="n">
        <x:v>483689804463</x:v>
      </x:c>
      <x:c r="O29" s="42" t="n">
        <x:f>SUM(K29:N29)</x:f>
        <x:v>830824000000</x:v>
      </x:c>
      <x:c r="P29" s="45" t="n">
        <x:f>IFERROR(O29/J29,0)</x:f>
        <x:v>0.040320907883363934</x:v>
      </x:c>
    </x:row>
    <x:row r="30">
      <x:c r="A30" s="33" t="n">
        <x:v>26</x:v>
      </x:c>
      <x:c r="B30" s="30" t="str">
        <x:v>롯데케미칼</x:v>
      </x:c>
      <x:c r="C30" s="36" t="n">
        <x:v>165413</x:v>
      </x:c>
      <x:c r="D30" s="39" t="n">
        <x:v>11170</x:v>
      </x:c>
      <x:c r="E30" s="33" t="str">
        <x:v>CFS</x:v>
      </x:c>
      <x:c r="F30" s="42" t="n">
        <x:v>4932297675348</x:v>
      </x:c>
      <x:c r="G30" s="42" t="n">
        <x:v>5002378822228</x:v>
      </x:c>
      <x:c r="H30" s="42" t="n">
        <x:v>4815652870911</x:v>
      </x:c>
      <x:c r="I30" s="42" t="n">
        <x:v>5196067261415</x:v>
      </x:c>
      <x:c r="J30" s="42" t="n">
        <x:f>SUM(F30:I30)</x:f>
        <x:v>19946396629902</x:v>
      </x:c>
      <x:c r="K30" s="42" t="n">
        <x:v>-26183542281</x:v>
      </x:c>
      <x:c r="L30" s="42" t="n">
        <x:v>-77046906772</x:v>
      </x:c>
      <x:c r="M30" s="42" t="n">
        <x:v>28082997465</x:v>
      </x:c>
      <x:c r="N30" s="42" t="n">
        <x:v>-272555047885</x:v>
      </x:c>
      <x:c r="O30" s="42" t="n">
        <x:f>SUM(K30:N30)</x:f>
        <x:v>-347702499473</x:v>
      </x:c>
      <x:c r="P30" s="45" t="n">
        <x:f>IFERROR(O30/J30,0)</x:f>
        <x:v>-0.017431845256288193</x:v>
      </x:c>
    </x:row>
    <x:row r="31">
      <x:c r="A31" s="33" t="n">
        <x:v>27</x:v>
      </x:c>
      <x:c r="B31" s="30" t="str">
        <x:v>SK텔레콤</x:v>
      </x:c>
      <x:c r="C31" s="36" t="n">
        <x:v>159023</x:v>
      </x:c>
      <x:c r="D31" s="39" t="n">
        <x:v>17670</x:v>
      </x:c>
      <x:c r="E31" s="33" t="str">
        <x:v>CFS</x:v>
      </x:c>
      <x:c r="F31" s="42" t="n">
        <x:v>4372227000000</x:v>
      </x:c>
      <x:c r="G31" s="42" t="n">
        <x:v>4306383000000</x:v>
      </x:c>
      <x:c r="H31" s="42" t="n">
        <x:v>4402610000000</x:v>
      </x:c>
      <x:c r="I31" s="42" t="n">
        <x:v>4527291000000</x:v>
      </x:c>
      <x:c r="J31" s="42" t="n">
        <x:f>SUM(F31:I31)</x:f>
        <x:v>17608511000000</x:v>
      </x:c>
      <x:c r="K31" s="42" t="n">
        <x:v>494778000000</x:v>
      </x:c>
      <x:c r="L31" s="42" t="n">
        <x:v>463409000000</x:v>
      </x:c>
      <x:c r="M31" s="42" t="n">
        <x:v>497962000000</x:v>
      </x:c>
      <x:c r="N31" s="42" t="n">
        <x:v>297055000000</x:v>
      </x:c>
      <x:c r="O31" s="42" t="n">
        <x:f>SUM(K31:N31)</x:f>
        <x:v>1753204000000</x:v>
      </x:c>
      <x:c r="P31" s="45" t="n">
        <x:f>IFERROR(O31/J31,0)</x:f>
        <x:v>0.09956571569282605</x:v>
      </x:c>
    </x:row>
    <x:row r="32">
      <x:c r="A32" s="33" t="n">
        <x:v>28</x:v>
      </x:c>
      <x:c r="B32" s="30" t="str">
        <x:v>두산에너빌리티</x:v>
      </x:c>
      <x:c r="C32" s="36" t="n">
        <x:v>159616</x:v>
      </x:c>
      <x:c r="D32" s="39" t="n">
        <x:v>34020</x:v>
      </x:c>
      <x:c r="E32" s="33" t="str">
        <x:v>CFS</x:v>
      </x:c>
      <x:c r="F32" s="42" t="n">
        <x:v>4041041770152</x:v>
      </x:c>
      <x:c r="G32" s="42" t="n">
        <x:v>4539361761447</x:v>
      </x:c>
      <x:c r="H32" s="42" t="n">
        <x:v>4154979828838</x:v>
      </x:c>
      <x:c r="I32" s="42" t="n">
        <x:v>4854504349073</x:v>
      </x:c>
      <x:c r="J32" s="42" t="n">
        <x:f>SUM(F32:I32)</x:f>
        <x:v>17589887709510</x:v>
      </x:c>
      <x:c r="K32" s="42" t="n">
        <x:v>364574487315</x:v>
      </x:c>
      <x:c r="L32" s="42" t="n">
        <x:v>494650309980</x:v>
      </x:c>
      <x:c r="M32" s="42" t="n">
        <x:v>311389399906</x:v>
      </x:c>
      <x:c r="N32" s="42" t="n">
        <x:v>296704140923</x:v>
      </x:c>
      <x:c r="O32" s="42" t="n">
        <x:f>SUM(K32:N32)</x:f>
        <x:v>1467318338124</x:v>
      </x:c>
      <x:c r="P32" s="45" t="n">
        <x:f>IFERROR(O32/J32,0)</x:f>
        <x:v>0.08341828909633642</x:v>
      </x:c>
    </x:row>
    <x:row r="33">
      <x:c r="A33" s="33" t="n">
        <x:v>29</x:v>
      </x:c>
      <x:c r="B33" s="30" t="str">
        <x:v>대한항공</x:v>
      </x:c>
      <x:c r="C33" s="36" t="n">
        <x:v>113526</x:v>
      </x:c>
      <x:c r="D33" s="39" t="n">
        <x:v>3490</x:v>
      </x:c>
      <x:c r="E33" s="33" t="str">
        <x:v>CFS</x:v>
      </x:c>
      <x:c r="F33" s="42" t="n">
        <x:v>3592033185858</x:v>
      </x:c>
      <x:c r="G33" s="42" t="n">
        <x:v>3877336004314</x:v>
      </x:c>
      <x:c r="H33" s="42" t="n">
        <x:v>4249023718523</x:v>
      </x:c>
      <x:c r="I33" s="42" t="n">
        <x:v>4393403197452</x:v>
      </x:c>
      <x:c r="J33" s="42" t="n">
        <x:f>SUM(F33:I33)</x:f>
        <x:v>16111796106147</x:v>
      </x:c>
      <x:c r="K33" s="42" t="n">
        <x:v>485549554865</x:v>
      </x:c>
      <x:c r="L33" s="42" t="n">
        <x:v>477189261212</x:v>
      </x:c>
      <x:c r="M33" s="42" t="n">
        <x:v>543049327458</x:v>
      </x:c>
      <x:c r="N33" s="42" t="n">
        <x:v>284301047270</x:v>
      </x:c>
      <x:c r="O33" s="42" t="n">
        <x:f>SUM(K33:N33)</x:f>
        <x:v>1790089190805</x:v>
      </x:c>
      <x:c r="P33" s="45" t="n">
        <x:f>IFERROR(O33/J33,0)</x:f>
        <x:v>0.11110426044443562</x:v>
      </x:c>
    </x:row>
    <x:row r="34">
      <x:c r="A34" s="33" t="n">
        <x:v>30</x:v>
      </x:c>
      <x:c r="B34" s="30" t="str">
        <x:v>롯데쇼핑</x:v>
      </x:c>
      <x:c r="C34" s="36" t="n">
        <x:v>120526</x:v>
      </x:c>
      <x:c r="D34" s="39" t="n">
        <x:v>23530</x:v>
      </x:c>
      <x:c r="E34" s="33" t="str">
        <x:v>CFS</x:v>
      </x:c>
      <x:c r="F34" s="42" t="n">
        <x:v>3561590512164</x:v>
      </x:c>
      <x:c r="G34" s="42" t="n">
        <x:v>3622248430828</x:v>
      </x:c>
      <x:c r="H34" s="42" t="n">
        <x:v>3739121259541</x:v>
      </x:c>
      <x:c r="I34" s="42" t="n">
        <x:v>3632903677757</x:v>
      </x:c>
      <x:c r="J34" s="42" t="n">
        <x:f>SUM(F34:I34)</x:f>
        <x:v>14555863880290</x:v>
      </x:c>
      <x:c r="K34" s="42" t="n">
        <x:v>112513631806</x:v>
      </x:c>
      <x:c r="L34" s="42" t="n">
        <x:v>51488081990</x:v>
      </x:c>
      <x:c r="M34" s="42" t="n">
        <x:v>142036762784</x:v>
      </x:c>
      <x:c r="N34" s="42" t="n">
        <x:v>202366255060</x:v>
      </x:c>
      <x:c r="O34" s="42" t="n">
        <x:f>SUM(K34:N34)</x:f>
        <x:v>508404731640</x:v>
      </x:c>
      <x:c r="P34" s="45" t="n">
        <x:f>IFERROR(O34/J34,0)</x:f>
        <x:v>0.03492782948653618</x:v>
      </x:c>
    </x:row>
    <x:row r="35">
      <x:c r="A35" s="33" t="n">
        <x:v>31</x:v>
      </x:c>
      <x:c r="B35" s="30" t="str">
        <x:v>LG유플러스</x:v>
      </x:c>
      <x:c r="C35" s="36" t="n">
        <x:v>231363</x:v>
      </x:c>
      <x:c r="D35" s="39" t="n">
        <x:v>32640</x:v>
      </x:c>
      <x:c r="E35" s="33" t="str">
        <x:v>CFS</x:v>
      </x:c>
      <x:c r="F35" s="42" t="n">
        <x:v>3541343000000</x:v>
      </x:c>
      <x:c r="G35" s="42" t="n">
        <x:v>3429331000000</x:v>
      </x:c>
      <x:c r="H35" s="42" t="n">
        <x:v>3581077000000</x:v>
      </x:c>
      <x:c r="I35" s="42" t="n">
        <x:v>3820875000000</x:v>
      </x:c>
      <x:c r="J35" s="42" t="n">
        <x:f>SUM(F35:I35)</x:f>
        <x:v>14372626000000</x:v>
      </x:c>
      <x:c r="K35" s="42" t="n">
        <x:v>260212000000</x:v>
      </x:c>
      <x:c r="L35" s="42" t="n">
        <x:v>288042000000</x:v>
      </x:c>
      <x:c r="M35" s="42" t="n">
        <x:v>254260000000</x:v>
      </x:c>
      <x:c r="N35" s="42" t="n">
        <x:v>195517000000</x:v>
      </x:c>
      <x:c r="O35" s="42" t="n">
        <x:f>SUM(K35:N35)</x:f>
        <x:v>998031000000</x:v>
      </x:c>
      <x:c r="P35" s="45" t="n">
        <x:f>IFERROR(O35/J35,0)</x:f>
        <x:v>0.06943971129562544</x:v>
      </x:c>
    </x:row>
    <x:row r="36">
      <x:c r="A36" s="33" t="n">
        <x:v>32</x:v>
      </x:c>
      <x:c r="B36" s="30" t="str">
        <x:v>GS건설</x:v>
      </x:c>
      <x:c r="C36" s="36" t="n">
        <x:v>120030</x:v>
      </x:c>
      <x:c r="D36" s="39" t="n">
        <x:v>6360</x:v>
      </x:c>
      <x:c r="E36" s="33" t="str">
        <x:v>CFS</x:v>
      </x:c>
      <x:c r="F36" s="42" t="n">
        <x:v>3512681540297</x:v>
      </x:c>
      <x:c r="G36" s="42" t="n">
        <x:v>3495056912503</x:v>
      </x:c>
      <x:c r="H36" s="42" t="n">
        <x:v>3107516808054</x:v>
      </x:c>
      <x:c r="I36" s="42" t="n">
        <x:v>3321429643617</x:v>
      </x:c>
      <x:c r="J36" s="42" t="n">
        <x:f>SUM(F36:I36)</x:f>
        <x:v>13436684904471</x:v>
      </x:c>
      <x:c r="K36" s="42" t="n">
        <x:v>158881043942</x:v>
      </x:c>
      <x:c r="L36" s="42" t="n">
        <x:v>-413766684172</x:v>
      </x:c>
      <x:c r="M36" s="42" t="n">
        <x:v>60151231029</x:v>
      </x:c>
      <x:c r="N36" s="42" t="n">
        <x:v>-193210991870</x:v>
      </x:c>
      <x:c r="O36" s="42" t="n">
        <x:f>SUM(K36:N36)</x:f>
        <x:v>-387945401071</x:v>
      </x:c>
      <x:c r="P36" s="45" t="n">
        <x:f>IFERROR(O36/J36,0)</x:f>
        <x:v>-0.028872106760642488</x:v>
      </x:c>
    </x:row>
    <x:row r="37">
      <x:c r="A37" s="33" t="n">
        <x:v>33</x:v>
      </x:c>
      <x:c r="B37" s="30" t="str">
        <x:v>HD현대중공업</x:v>
      </x:c>
      <x:c r="C37" s="36" t="n">
        <x:v>1390344</x:v>
      </x:c>
      <x:c r="D37" s="39" t="n">
        <x:v>329180</x:v>
      </x:c>
      <x:c r="E37" s="33" t="str">
        <x:v>CFS</x:v>
      </x:c>
      <x:c r="F37" s="42" t="n">
        <x:v>2632890261000</x:v>
      </x:c>
      <x:c r="G37" s="42" t="n">
        <x:v>3064397813000</x:v>
      </x:c>
      <x:c r="H37" s="42" t="n">
        <x:v>2853526385000</x:v>
      </x:c>
      <x:c r="I37" s="42" t="n">
        <x:v>3413111533000</x:v>
      </x:c>
      <x:c r="J37" s="42" t="n">
        <x:f>SUM(F37:I37)</x:f>
        <x:v>11963925992000</x:v>
      </x:c>
      <x:c r="K37" s="42" t="n">
        <x:v>-41468730000</x:v>
      </x:c>
      <x:c r="L37" s="42" t="n">
        <x:v>68534227000</x:v>
      </x:c>
      <x:c r="M37" s="42" t="n">
        <x:v>12907756000</x:v>
      </x:c>
      <x:c r="N37" s="42" t="n">
        <x:v>138666712000</x:v>
      </x:c>
      <x:c r="O37" s="42" t="n">
        <x:f>SUM(K37:N37)</x:f>
        <x:v>178639965000</x:v>
      </x:c>
      <x:c r="P37" s="45" t="n">
        <x:f>IFERROR(O37/J37,0)</x:f>
        <x:v>0.014931550489317002</x:v>
      </x:c>
    </x:row>
    <x:row r="38">
      <x:c r="A38" s="33" t="n">
        <x:v>34</x:v>
      </x:c>
      <x:c r="B38" s="30" t="str">
        <x:v>CJ대한통운</x:v>
      </x:c>
      <x:c r="C38" s="36" t="n">
        <x:v>113410</x:v>
      </x:c>
      <x:c r="D38" s="39" t="n">
        <x:v>120</x:v>
      </x:c>
      <x:c r="E38" s="33" t="str">
        <x:v>CFS</x:v>
      </x:c>
      <x:c r="F38" s="42" t="n">
        <x:v>2807819702823</x:v>
      </x:c>
      <x:c r="G38" s="42" t="n">
        <x:v>2962432372580</x:v>
      </x:c>
      <x:c r="H38" s="42" t="n">
        <x:v>2937071125081</x:v>
      </x:c>
      <x:c r="I38" s="42" t="n">
        <x:v>3060570462785</x:v>
      </x:c>
      <x:c r="J38" s="42" t="n">
        <x:f>SUM(F38:I38)</x:f>
        <x:v>11767893663269</x:v>
      </x:c>
      <x:c r="K38" s="42" t="n">
        <x:v>99035819179</x:v>
      </x:c>
      <x:c r="L38" s="42" t="n">
        <x:v>112393191910</x:v>
      </x:c>
      <x:c r="M38" s="42" t="n">
        <x:v>124793052129</x:v>
      </x:c>
      <x:c r="N38" s="42" t="n">
        <x:v>144012799939</x:v>
      </x:c>
      <x:c r="O38" s="42" t="n">
        <x:f>SUM(K38:N38)</x:f>
        <x:v>480234863157</x:v>
      </x:c>
      <x:c r="P38" s="45" t="n">
        <x:f>IFERROR(O38/J38,0)</x:f>
        <x:v>0.04080890573101896</x:v>
      </x:c>
    </x:row>
    <x:row r="39">
      <x:c r="A39" s="33" t="n">
        <x:v>35</x:v>
      </x:c>
      <x:c r="B39" s="30" t="str">
        <x:v>대우건설</x:v>
      </x:c>
      <x:c r="C39" s="36" t="n">
        <x:v>124540</x:v>
      </x:c>
      <x:c r="D39" s="39" t="n">
        <x:v>47040</x:v>
      </x:c>
      <x:c r="E39" s="33" t="str">
        <x:v>CFS</x:v>
      </x:c>
      <x:c r="F39" s="42" t="n">
        <x:v>2608117445979</x:v>
      </x:c>
      <x:c r="G39" s="42" t="n">
        <x:v>3271396700087</x:v>
      </x:c>
      <x:c r="H39" s="42" t="n">
        <x:v>2990107869677</x:v>
      </x:c>
      <x:c r="I39" s="42" t="n">
        <x:v>2778178848947</x:v>
      </x:c>
      <x:c r="J39" s="42" t="n">
        <x:f>SUM(F39:I39)</x:f>
        <x:v>11647800864690</x:v>
      </x:c>
      <x:c r="K39" s="42" t="n">
        <x:v>176677317099</x:v>
      </x:c>
      <x:c r="L39" s="42" t="n">
        <x:v>217675944667</x:v>
      </x:c>
      <x:c r="M39" s="42" t="n">
        <x:v>190245751653</x:v>
      </x:c>
      <x:c r="N39" s="42" t="n">
        <x:v>77918539197</x:v>
      </x:c>
      <x:c r="O39" s="42" t="n">
        <x:f>SUM(K39:N39)</x:f>
        <x:v>662517552616</x:v>
      </x:c>
      <x:c r="P39" s="45" t="n">
        <x:f>IFERROR(O39/J39,0)</x:f>
        <x:v>0.05687919636610585</x:v>
      </x:c>
    </x:row>
    <x:row r="40">
      <x:c r="A40" s="33" t="n">
        <x:v>36</x:v>
      </x:c>
      <x:c r="B40" s="30" t="str">
        <x:v>GS리테일</x:v>
      </x:c>
      <x:c r="C40" s="36" t="n">
        <x:v>140177</x:v>
      </x:c>
      <x:c r="D40" s="39" t="n">
        <x:v>7070</x:v>
      </x:c>
      <x:c r="E40" s="33" t="str">
        <x:v>CFS</x:v>
      </x:c>
      <x:c r="F40" s="42" t="n">
        <x:v>2700244361762</x:v>
      </x:c>
      <x:c r="G40" s="42" t="n">
        <x:v>2957767404281</x:v>
      </x:c>
      <x:c r="H40" s="42" t="n">
        <x:v>3090217971652</x:v>
      </x:c>
      <x:c r="I40" s="42" t="n">
        <x:v>2864318183043</x:v>
      </x:c>
      <x:c r="J40" s="42" t="n">
        <x:f>SUM(F40:I40)</x:f>
        <x:v>11612547920738</x:v>
      </x:c>
      <x:c r="K40" s="42" t="n">
        <x:v>46562220067</x:v>
      </x:c>
      <x:c r="L40" s="42" t="n">
        <x:v>97209778272</x:v>
      </x:c>
      <x:c r="M40" s="42" t="n">
        <x:v>126764817356</x:v>
      </x:c>
      <x:c r="N40" s="42" t="n">
        <x:v>123418523928</x:v>
      </x:c>
      <x:c r="O40" s="42" t="n">
        <x:f>SUM(K40:N40)</x:f>
        <x:v>393955339623</x:v>
      </x:c>
      <x:c r="P40" s="45" t="n">
        <x:f>IFERROR(O40/J40,0)</x:f>
        <x:v>0.033924969981778415</x:v>
      </x:c>
    </x:row>
    <x:row r="41">
      <x:c r="A41" s="33" t="n">
        <x:v>37</x:v>
      </x:c>
      <x:c r="B41" s="30" t="str">
        <x:v>삼성E&amp;A</x:v>
      </x:c>
      <x:c r="C41" s="36" t="n">
        <x:v>126308</x:v>
      </x:c>
      <x:c r="D41" s="39" t="n">
        <x:v>28050</x:v>
      </x:c>
      <x:c r="E41" s="33" t="str">
        <x:v>CFS</x:v>
      </x:c>
      <x:c r="F41" s="42" t="n">
        <x:v>2533450971053</x:v>
      </x:c>
      <x:c r="G41" s="42" t="n">
        <x:v>2785888244084</x:v>
      </x:c>
      <x:c r="H41" s="42" t="n">
        <x:v>2478112528383</x:v>
      </x:c>
      <x:c r="I41" s="42" t="n">
        <x:v>2827466250075</x:v>
      </x:c>
      <x:c r="J41" s="42" t="n">
        <x:f>SUM(F41:I41)</x:f>
        <x:v>10624917993595</x:v>
      </x:c>
      <x:c r="K41" s="42" t="n">
        <x:v>225368524085</x:v>
      </x:c>
      <x:c r="L41" s="42" t="n">
        <x:v>344468445099</x:v>
      </x:c>
      <x:c r="M41" s="42" t="n">
        <x:v>153441830862</x:v>
      </x:c>
      <x:c r="N41" s="42" t="n">
        <x:v>269850066142</x:v>
      </x:c>
      <x:c r="O41" s="42" t="n">
        <x:f>SUM(K41:N41)</x:f>
        <x:v>993128866188</x:v>
      </x:c>
      <x:c r="P41" s="45" t="n">
        <x:f>IFERROR(O41/J41,0)</x:f>
        <x:v>0.09347167354954514</x:v>
      </x:c>
    </x:row>
    <x:row r="42">
      <x:c r="A42" s="33" t="n">
        <x:v>38</x:v>
      </x:c>
      <x:c r="B42" s="30" t="str">
        <x:v>고려아연</x:v>
      </x:c>
      <x:c r="C42" s="36" t="n">
        <x:v>102858</x:v>
      </x:c>
      <x:c r="D42" s="39" t="n">
        <x:v>10130</x:v>
      </x:c>
      <x:c r="E42" s="33" t="str">
        <x:v>CFS</x:v>
      </x:c>
      <x:c r="F42" s="42" t="n">
        <x:v>2527300329186</x:v>
      </x:c>
      <x:c r="G42" s="42" t="n">
        <x:v>2469446434791</x:v>
      </x:c>
      <x:c r="H42" s="42" t="n">
        <x:v>2293239505769</x:v>
      </x:c>
      <x:c r="I42" s="42" t="n">
        <x:v>2414535073278</x:v>
      </x:c>
      <x:c r="J42" s="42" t="n">
        <x:f>SUM(F42:I42)</x:f>
        <x:v>9704521343024</x:v>
      </x:c>
      <x:c r="K42" s="42" t="n">
        <x:v>145757284544</x:v>
      </x:c>
      <x:c r="L42" s="42" t="n">
        <x:v>155714424546</x:v>
      </x:c>
      <x:c r="M42" s="42" t="n">
        <x:v>160419187852</x:v>
      </x:c>
      <x:c r="N42" s="42" t="n">
        <x:v>198044527656</x:v>
      </x:c>
      <x:c r="O42" s="42" t="n">
        <x:f>SUM(K42:N42)</x:f>
        <x:v>659935424598</x:v>
      </x:c>
      <x:c r="P42" s="45" t="n">
        <x:f>IFERROR(O42/J42,0)</x:f>
        <x:v>0.068002882498928</x:v>
      </x:c>
    </x:row>
    <x:row r="43">
      <x:c r="A43" s="33" t="n">
        <x:v>39</x:v>
      </x:c>
      <x:c r="B43" s="30" t="str">
        <x:v>한온시스템</x:v>
      </x:c>
      <x:c r="C43" s="36" t="n">
        <x:v>161125</x:v>
      </x:c>
      <x:c r="D43" s="39" t="n">
        <x:v>18880</x:v>
      </x:c>
      <x:c r="E43" s="33" t="str">
        <x:v>CFS</x:v>
      </x:c>
      <x:c r="F43" s="42" t="n">
        <x:v>2340364639688</x:v>
      </x:c>
      <x:c r="G43" s="42" t="n">
        <x:v>2429090026451</x:v>
      </x:c>
      <x:c r="H43" s="42" t="n">
        <x:v>2327353818406</x:v>
      </x:c>
      <x:c r="I43" s="42" t="n">
        <x:v>2462519763855</x:v>
      </x:c>
      <x:c r="J43" s="42" t="n">
        <x:f>SUM(F43:I43)</x:f>
        <x:v>9559328248400</x:v>
      </x:c>
      <x:c r="K43" s="42" t="n">
        <x:v>60222488871</x:v>
      </x:c>
      <x:c r="L43" s="42" t="n">
        <x:v>143475901470</x:v>
      </x:c>
      <x:c r="M43" s="42" t="n">
        <x:v>20287455378</x:v>
      </x:c>
      <x:c r="N43" s="42" t="n">
        <x:v>53292755890</x:v>
      </x:c>
      <x:c r="O43" s="42" t="n">
        <x:f>SUM(K43:N43)</x:f>
        <x:v>277278601609</x:v>
      </x:c>
      <x:c r="P43" s="45" t="n">
        <x:f>IFERROR(O43/J43,0)</x:f>
        <x:v>0.02900607599235958</x:v>
      </x:c>
    </x:row>
    <x:row r="44">
      <x:c r="A44" s="33" t="n">
        <x:v>40</x:v>
      </x:c>
      <x:c r="B44" s="30" t="str">
        <x:v>한화에어로스페이스</x:v>
      </x:c>
      <x:c r="C44" s="36" t="n">
        <x:v>126566</x:v>
      </x:c>
      <x:c r="D44" s="39" t="n">
        <x:v>12450</x:v>
      </x:c>
      <x:c r="E44" s="33" t="str">
        <x:v>CFS</x:v>
      </x:c>
      <x:c r="F44" s="42" t="n">
        <x:v>1927025485831</x:v>
      </x:c>
      <x:c r="G44" s="42" t="n">
        <x:v>1797904528829</x:v>
      </x:c>
      <x:c r="H44" s="42" t="n">
        <x:v>2202356637817</x:v>
      </x:c>
      <x:c r="I44" s="42" t="n">
        <x:v>3431719328832</x:v>
      </x:c>
      <x:c r="J44" s="42" t="n">
        <x:f>SUM(F44:I44)</x:f>
        <x:v>9359005981309</x:v>
      </x:c>
      <x:c r="K44" s="42" t="n">
        <x:v>228541842549</x:v>
      </x:c>
      <x:c r="L44" s="42" t="n">
        <x:v>82944037520</x:v>
      </x:c>
      <x:c r="M44" s="42" t="n">
        <x:v>103873929903</x:v>
      </x:c>
      <x:c r="N44" s="42" t="n">
        <x:v>275754872428</x:v>
      </x:c>
      <x:c r="O44" s="42" t="n">
        <x:f>SUM(K44:N44)</x:f>
        <x:v>691114682400</x:v>
      </x:c>
      <x:c r="P44" s="45" t="n">
        <x:f>IFERROR(O44/J44,0)</x:f>
        <x:v>0.07384488093930432</x:v>
      </x:c>
    </x:row>
    <x:row r="45">
      <x:c r="A45" s="33" t="n">
        <x:v>41</x:v>
      </x:c>
      <x:c r="B45" s="30" t="str">
        <x:v>동원산업</x:v>
      </x:c>
      <x:c r="C45" s="36" t="n">
        <x:v>118026</x:v>
      </x:c>
      <x:c r="D45" s="39" t="n">
        <x:v>6040</x:v>
      </x:c>
      <x:c r="E45" s="33" t="str">
        <x:v>CFS</x:v>
      </x:c>
      <x:c r="F45" s="42" t="n">
        <x:v>2264232208249</x:v>
      </x:c>
      <x:c r="G45" s="42" t="n">
        <x:v>2197762773472</x:v>
      </x:c>
      <x:c r="H45" s="42" t="n">
        <x:v>2384254814757</x:v>
      </x:c>
      <x:c r="I45" s="42" t="n">
        <x:v>2102320961486</x:v>
      </x:c>
      <x:c r="J45" s="42" t="n">
        <x:f>SUM(F45:I45)</x:f>
        <x:v>8948570757964</x:v>
      </x:c>
      <x:c r="K45" s="42" t="n">
        <x:v>117253055597</x:v>
      </x:c>
      <x:c r="L45" s="42" t="n">
        <x:v>102299697507</x:v>
      </x:c>
      <x:c r="M45" s="42" t="n">
        <x:v>154420209492</x:v>
      </x:c>
      <x:c r="N45" s="42" t="n">
        <x:v>90760664030</x:v>
      </x:c>
      <x:c r="O45" s="42" t="n">
        <x:f>SUM(K45:N45)</x:f>
        <x:v>464733626626</x:v>
      </x:c>
      <x:c r="P45" s="45" t="n">
        <x:f>IFERROR(O45/J45,0)</x:f>
        <x:v>0.05193383828500198</x:v>
      </x:c>
    </x:row>
    <x:row r="46">
      <x:c r="A46" s="33" t="n">
        <x:v>42</x:v>
      </x:c>
      <x:c r="B46" s="30" t="str">
        <x:v>한국타이어앤테크놀로지</x:v>
      </x:c>
      <x:c r="C46" s="36" t="n">
        <x:v>937324</x:v>
      </x:c>
      <x:c r="D46" s="39" t="n">
        <x:v>161390</x:v>
      </x:c>
      <x:c r="E46" s="33" t="str">
        <x:v>CFS</x:v>
      </x:c>
      <x:c r="F46" s="42" t="n">
        <x:v>2104078343832</x:v>
      </x:c>
      <x:c r="G46" s="42" t="n">
        <x:v>2263456312718</x:v>
      </x:c>
      <x:c r="H46" s="42" t="n">
        <x:v>2340056955401</x:v>
      </x:c>
      <x:c r="I46" s="42" t="n">
        <x:v>2232029863556</x:v>
      </x:c>
      <x:c r="J46" s="42" t="n">
        <x:f>SUM(F46:I46)</x:f>
        <x:v>8939621475507</x:v>
      </x:c>
      <x:c r="K46" s="42" t="n">
        <x:v>190938507425</x:v>
      </x:c>
      <x:c r="L46" s="42" t="n">
        <x:v>248220819399</x:v>
      </x:c>
      <x:c r="M46" s="42" t="n">
        <x:v>396377269196</x:v>
      </x:c>
      <x:c r="N46" s="42" t="n">
        <x:v>492408724771</x:v>
      </x:c>
      <x:c r="O46" s="42" t="n">
        <x:f>SUM(K46:N46)</x:f>
        <x:v>1327945320791</x:v>
      </x:c>
      <x:c r="P46" s="45" t="n">
        <x:f>IFERROR(O46/J46,0)</x:f>
        <x:v>0.14854603457532717</x:v>
      </x:c>
    </x:row>
    <x:row r="47">
      <x:c r="A47" s="33" t="n">
        <x:v>43</x:v>
      </x:c>
      <x:c r="B47" s="30" t="str">
        <x:v>삼성전기</x:v>
      </x:c>
      <x:c r="C47" s="36" t="n">
        <x:v>126371</x:v>
      </x:c>
      <x:c r="D47" s="39" t="n">
        <x:v>9150</x:v>
      </x:c>
      <x:c r="E47" s="33" t="str">
        <x:v>CFS</x:v>
      </x:c>
      <x:c r="F47" s="42" t="n">
        <x:v>2021762829146</x:v>
      </x:c>
      <x:c r="G47" s="42" t="n">
        <x:v>2220522779470</x:v>
      </x:c>
      <x:c r="H47" s="42" t="n">
        <x:v>2360940580778</x:v>
      </x:c>
      <x:c r="I47" s="42" t="n">
        <x:v>2306222294521</x:v>
      </x:c>
      <x:c r="J47" s="42" t="n">
        <x:f>SUM(F47:I47)</x:f>
        <x:v>8909448483915</x:v>
      </x:c>
      <x:c r="K47" s="42" t="n">
        <x:v>140057618237</x:v>
      </x:c>
      <x:c r="L47" s="42" t="n">
        <x:v>204960394399</x:v>
      </x:c>
      <x:c r="M47" s="42" t="n">
        <x:v>183993259843</x:v>
      </x:c>
      <x:c r="N47" s="42" t="n">
        <x:v>110412464641</x:v>
      </x:c>
      <x:c r="O47" s="42" t="n">
        <x:f>SUM(K47:N47)</x:f>
        <x:v>639423737120</x:v>
      </x:c>
      <x:c r="P47" s="45" t="n">
        <x:f>IFERROR(O47/J47,0)</x:f>
        <x:v>0.07176917160185696</x:v>
      </x:c>
    </x:row>
    <x:row r="48">
      <x:c r="A48" s="33" t="n">
        <x:v>44</x:v>
      </x:c>
      <x:c r="B48" s="30" t="str">
        <x:v>현대위아</x:v>
      </x:c>
      <x:c r="C48" s="36" t="n">
        <x:v>106623</x:v>
      </x:c>
      <x:c r="D48" s="39" t="n">
        <x:v>11210</x:v>
      </x:c>
      <x:c r="E48" s="33" t="str">
        <x:v>CFS</x:v>
      </x:c>
      <x:c r="F48" s="42" t="n">
        <x:v>2095022000000</x:v>
      </x:c>
      <x:c r="G48" s="42" t="n">
        <x:v>2285069000000</x:v>
      </x:c>
      <x:c r="H48" s="42" t="n">
        <x:v>2099012000000</x:v>
      </x:c>
      <x:c r="I48" s="42" t="n">
        <x:v>2111213000000</x:v>
      </x:c>
      <x:c r="J48" s="42" t="n">
        <x:f>SUM(F48:I48)</x:f>
        <x:v>8590316000000</x:v>
      </x:c>
      <x:c r="K48" s="42" t="n">
        <x:v>50944000000</x:v>
      </x:c>
      <x:c r="L48" s="42" t="n">
        <x:v>65187000000</x:v>
      </x:c>
      <x:c r="M48" s="42" t="n">
        <x:v>68320000000</x:v>
      </x:c>
      <x:c r="N48" s="42" t="n">
        <x:v>44765000000</x:v>
      </x:c>
      <x:c r="O48" s="42" t="n">
        <x:f>SUM(K48:N48)</x:f>
        <x:v>229216000000</x:v>
      </x:c>
      <x:c r="P48" s="45" t="n">
        <x:f>IFERROR(O48/J48,0)</x:f>
        <x:v>0.02668306963329405</x:v>
      </x:c>
    </x:row>
    <x:row r="49">
      <x:c r="A49" s="33" t="n">
        <x:v>45</x:v>
      </x:c>
      <x:c r="B49" s="30" t="str">
        <x:v>HMM</x:v>
      </x:c>
      <x:c r="C49" s="36" t="n">
        <x:v>164645</x:v>
      </x:c>
      <x:c r="D49" s="39" t="n">
        <x:v>11200</x:v>
      </x:c>
      <x:c r="E49" s="33" t="str">
        <x:v>CFS</x:v>
      </x:c>
      <x:c r="F49" s="42" t="n">
        <x:v>2081561000000</x:v>
      </x:c>
      <x:c r="G49" s="42" t="n">
        <x:v>2129988000000</x:v>
      </x:c>
      <x:c r="H49" s="42" t="n">
        <x:v>2126599000000</x:v>
      </x:c>
      <x:c r="I49" s="42" t="n">
        <x:v>2062821000000</x:v>
      </x:c>
      <x:c r="J49" s="42" t="n">
        <x:f>SUM(F49:I49)</x:f>
        <x:v>8400969000000</x:v>
      </x:c>
      <x:c r="K49" s="42" t="n">
        <x:v>306916000000</x:v>
      </x:c>
      <x:c r="L49" s="42" t="n">
        <x:v>160218000000</x:v>
      </x:c>
      <x:c r="M49" s="42" t="n">
        <x:v>75816000000</x:v>
      </x:c>
      <x:c r="N49" s="42" t="n">
        <x:v>42363000000</x:v>
      </x:c>
      <x:c r="O49" s="42" t="n">
        <x:f>SUM(K49:N49)</x:f>
        <x:v>585313000000</x:v>
      </x:c>
      <x:c r="P49" s="45" t="n">
        <x:f>IFERROR(O49/J49,0)</x:f>
        <x:v>0.069672081875317</x:v>
      </x:c>
    </x:row>
    <x:row r="50">
      <x:c r="A50" s="33" t="n">
        <x:v>46</x:v>
      </x:c>
      <x:c r="B50" s="30" t="str">
        <x:v>HL만도</x:v>
      </x:c>
      <x:c r="C50" s="36" t="n">
        <x:v>1042775</x:v>
      </x:c>
      <x:c r="D50" s="39" t="n">
        <x:v>204320</x:v>
      </x:c>
      <x:c r="E50" s="33" t="str">
        <x:v>CFS</x:v>
      </x:c>
      <x:c r="F50" s="42" t="n">
        <x:v>1996741264758</x:v>
      </x:c>
      <x:c r="G50" s="42" t="n">
        <x:v>2086768038079</x:v>
      </x:c>
      <x:c r="H50" s="42" t="n">
        <x:v>2119142820260</x:v>
      </x:c>
      <x:c r="I50" s="42" t="n">
        <x:v>2190434677832</x:v>
      </x:c>
      <x:c r="J50" s="42" t="n">
        <x:f>SUM(F50:I50)</x:f>
        <x:v>8393086800929</x:v>
      </x:c>
      <x:c r="K50" s="42" t="n">
        <x:v>70186400760</x:v>
      </x:c>
      <x:c r="L50" s="42" t="n">
        <x:v>76986366389</x:v>
      </x:c>
      <x:c r="M50" s="42" t="n">
        <x:v>81512784071</x:v>
      </x:c>
      <x:c r="N50" s="42" t="n">
        <x:v>50591445060</x:v>
      </x:c>
      <x:c r="O50" s="42" t="n">
        <x:f>SUM(K50:N50)</x:f>
        <x:v>279276996280</x:v>
      </x:c>
      <x:c r="P50" s="45" t="n">
        <x:f>IFERROR(O50/J50,0)</x:f>
        <x:v>0.033274646492287896</x:v>
      </x:c>
    </x:row>
    <x:row r="51">
      <x:c r="A51" s="33" t="n">
        <x:v>47</x:v>
      </x:c>
      <x:c r="B51" s="30" t="str">
        <x:v>BGF리테일</x:v>
      </x:c>
      <x:c r="C51" s="36" t="n">
        <x:v>1263022</x:v>
      </x:c>
      <x:c r="D51" s="39" t="n">
        <x:v>282330</x:v>
      </x:c>
      <x:c r="E51" s="33" t="str">
        <x:v>CFS</x:v>
      </x:c>
      <x:c r="F51" s="42" t="n">
        <x:v>1849561501825</x:v>
      </x:c>
      <x:c r="G51" s="42" t="n">
        <x:v>2098224064624</x:v>
      </x:c>
      <x:c r="H51" s="42" t="n">
        <x:v>2206809870082</x:v>
      </x:c>
      <x:c r="I51" s="42" t="n">
        <x:v>2040158542366</x:v>
      </x:c>
      <x:c r="J51" s="42" t="n">
        <x:f>SUM(F51:I51)</x:f>
        <x:v>8194753978897</x:v>
      </x:c>
      <x:c r="K51" s="42" t="n">
        <x:v>37010850560</x:v>
      </x:c>
      <x:c r="L51" s="42" t="n">
        <x:v>78076648531</x:v>
      </x:c>
      <x:c r="M51" s="42" t="n">
        <x:v>87022242743</x:v>
      </x:c>
      <x:c r="N51" s="42" t="n">
        <x:v>51078011789</x:v>
      </x:c>
      <x:c r="O51" s="42" t="n">
        <x:f>SUM(K51:N51)</x:f>
        <x:v>253187753623</x:v>
      </x:c>
      <x:c r="P51" s="45" t="n">
        <x:f>IFERROR(O51/J51,0)</x:f>
        <x:v>0.03089632150946875</x:v>
      </x:c>
    </x:row>
    <x:row r="52">
      <x:c r="A52" s="33" t="n">
        <x:v>48</x:v>
      </x:c>
      <x:c r="B52" s="30" t="str">
        <x:v>삼성중공업</x:v>
      </x:c>
      <x:c r="C52" s="36" t="n">
        <x:v>126478</x:v>
      </x:c>
      <x:c r="D52" s="39" t="n">
        <x:v>10140</x:v>
      </x:c>
      <x:c r="E52" s="33" t="str">
        <x:v>CFS</x:v>
      </x:c>
      <x:c r="F52" s="42" t="n">
        <x:v>1605051963194</x:v>
      </x:c>
      <x:c r="G52" s="42" t="n">
        <x:v>1945786579939</x:v>
      </x:c>
      <x:c r="H52" s="42" t="n">
        <x:v>2025430336171</x:v>
      </x:c>
      <x:c r="I52" s="42" t="n">
        <x:v>2433161032804</x:v>
      </x:c>
      <x:c r="J52" s="42" t="n">
        <x:f>SUM(F52:I52)</x:f>
        <x:v>8009429912108</x:v>
      </x:c>
      <x:c r="K52" s="42" t="n">
        <x:v>19557062137</x:v>
      </x:c>
      <x:c r="L52" s="42" t="n">
        <x:v>58914338193</x:v>
      </x:c>
      <x:c r="M52" s="42" t="n">
        <x:v>75874288927</x:v>
      </x:c>
      <x:c r="N52" s="42" t="n">
        <x:v>78999078785</x:v>
      </x:c>
      <x:c r="O52" s="42" t="n">
        <x:f>SUM(K52:N52)</x:f>
        <x:v>233344768042</x:v>
      </x:c>
      <x:c r="P52" s="45" t="n">
        <x:f>IFERROR(O52/J52,0)</x:f>
        <x:v>0.0291337549117258</x:v>
      </x:c>
    </x:row>
    <x:row r="53">
      <x:c r="A53" s="33" t="n">
        <x:v>49</x:v>
      </x:c>
      <x:c r="B53" s="30" t="str">
        <x:v>DL이앤씨</x:v>
      </x:c>
      <x:c r="C53" s="36" t="n">
        <x:v>1524093</x:v>
      </x:c>
      <x:c r="D53" s="39" t="n">
        <x:v>375500</x:v>
      </x:c>
      <x:c r="E53" s="33" t="str">
        <x:v>CFS</x:v>
      </x:c>
      <x:c r="F53" s="42" t="n">
        <x:v>1850068896513</x:v>
      </x:c>
      <x:c r="G53" s="42" t="n">
        <x:v>1970578742239</x:v>
      </x:c>
      <x:c r="H53" s="42" t="n">
        <x:v>1837421186864</x:v>
      </x:c>
      <x:c r="I53" s="42" t="n">
        <x:v>2332994791064</x:v>
      </x:c>
      <x:c r="J53" s="42" t="n">
        <x:f>SUM(F53:I53)</x:f>
        <x:v>7991063616680</x:v>
      </x:c>
      <x:c r="K53" s="42" t="n">
        <x:v>90156879916</x:v>
      </x:c>
      <x:c r="L53" s="42" t="n">
        <x:v>71875487628</x:v>
      </x:c>
      <x:c r="M53" s="42" t="n">
        <x:v>80399188247</x:v>
      </x:c>
      <x:c r="N53" s="42" t="n">
        <x:v>88227834441</x:v>
      </x:c>
      <x:c r="O53" s="42" t="n">
        <x:f>SUM(K53:N53)</x:f>
        <x:v>330659390232</x:v>
      </x:c>
      <x:c r="P53" s="45" t="n">
        <x:f>IFERROR(O53/J53,0)</x:f>
        <x:v>0.04137864570891467</x:v>
      </x:c>
    </x:row>
    <x:row r="54">
      <x:c r="A54" s="33" t="n">
        <x:v>50</x:v>
      </x:c>
      <x:c r="B54" s="30" t="str">
        <x:v>E1</x:v>
      </x:c>
      <x:c r="C54" s="36" t="n">
        <x:v>165583</x:v>
      </x:c>
      <x:c r="D54" s="39" t="n">
        <x:v>17940</x:v>
      </x:c>
      <x:c r="E54" s="33" t="str">
        <x:v>CFS</x:v>
      </x:c>
      <x:c r="F54" s="42" t="n">
        <x:v>2009651091039</x:v>
      </x:c>
      <x:c r="G54" s="42" t="n">
        <x:v>1874768845108</x:v>
      </x:c>
      <x:c r="H54" s="42" t="n">
        <x:v>1839483009732</x:v>
      </x:c>
      <x:c r="I54" s="42" t="n">
        <x:v>2103834120650</x:v>
      </x:c>
      <x:c r="J54" s="42" t="n">
        <x:f>SUM(F54:I54)</x:f>
        <x:v>7827737066529</x:v>
      </x:c>
      <x:c r="K54" s="42" t="n">
        <x:v>70027383238</x:v>
      </x:c>
      <x:c r="L54" s="42" t="n">
        <x:v>99275559348</x:v>
      </x:c>
      <x:c r="M54" s="42" t="n">
        <x:v>-14436170829</x:v>
      </x:c>
      <x:c r="N54" s="42" t="n">
        <x:v>-61691705898</x:v>
      </x:c>
      <x:c r="O54" s="42" t="n">
        <x:f>SUM(K54:N54)</x:f>
        <x:v>93175065859</x:v>
      </x:c>
      <x:c r="P54" s="45" t="n">
        <x:f>IFERROR(O54/J54,0)</x:f>
        <x:v>0.01190319310256495</x:v>
      </x:c>
    </x:row>
    <x:row r="55">
      <x:c r="A55" s="33" t="n">
        <x:v>51</x:v>
      </x:c>
      <x:c r="B55" s="30" t="str">
        <x:v>아시아나항공</x:v>
      </x:c>
      <x:c r="C55" s="36" t="n">
        <x:v>138792</x:v>
      </x:c>
      <x:c r="D55" s="39" t="n">
        <x:v>20560</x:v>
      </x:c>
      <x:c r="E55" s="33" t="str">
        <x:v>CFS</x:v>
      </x:c>
      <x:c r="F55" s="42" t="n">
        <x:v>1747416979739</x:v>
      </x:c>
      <x:c r="G55" s="42" t="n">
        <x:v>1825577438251</x:v>
      </x:c>
      <x:c r="H55" s="42" t="n">
        <x:v>2001891219916</x:v>
      </x:c>
      <x:c r="I55" s="42" t="n">
        <x:v>2048462709458</x:v>
      </x:c>
      <x:c r="J55" s="42" t="n">
        <x:f>SUM(F55:I55)</x:f>
        <x:v>7623348347364</x:v>
      </x:c>
      <x:c r="K55" s="42" t="n">
        <x:v>166815661734</x:v>
      </x:c>
      <x:c r="L55" s="42" t="n">
        <x:v>151313242809</x:v>
      </x:c>
      <x:c r="M55" s="42" t="n">
        <x:v>199486654094</x:v>
      </x:c>
      <x:c r="N55" s="42" t="n">
        <x:v>102313114692</x:v>
      </x:c>
      <x:c r="O55" s="42" t="n">
        <x:f>SUM(K55:N55)</x:f>
        <x:v>619928673329</x:v>
      </x:c>
      <x:c r="P55" s="45" t="n">
        <x:f>IFERROR(O55/J55,0)</x:f>
        <x:v>0.08131973577507563</x:v>
      </x:c>
    </x:row>
    <x:row r="56">
      <x:c r="A56" s="33" t="n">
        <x:v>52</x:v>
      </x:c>
      <x:c r="B56" s="30" t="str">
        <x:v>한화오션</x:v>
      </x:c>
      <x:c r="C56" s="36" t="n">
        <x:v>111704</x:v>
      </x:c>
      <x:c r="D56" s="39" t="n">
        <x:v>42660</x:v>
      </x:c>
      <x:c r="E56" s="33" t="str">
        <x:v>CFS</x:v>
      </x:c>
      <x:c r="F56" s="42" t="n">
        <x:v>1439835446284</x:v>
      </x:c>
      <x:c r="G56" s="42" t="n">
        <x:v>1820700739696</x:v>
      </x:c>
      <x:c r="H56" s="42" t="n">
        <x:v>1916837192291</x:v>
      </x:c>
      <x:c r="I56" s="42" t="n">
        <x:v>2230938887372</x:v>
      </x:c>
      <x:c r="J56" s="42" t="n">
        <x:f>SUM(F56:I56)</x:f>
        <x:v>7408312265643</x:v>
      </x:c>
      <x:c r="K56" s="42" t="n">
        <x:v>-62794746267</x:v>
      </x:c>
      <x:c r="L56" s="42" t="n">
        <x:v>-159009731637</x:v>
      </x:c>
      <x:c r="M56" s="42" t="n">
        <x:v>74134584559</x:v>
      </x:c>
      <x:c r="N56" s="42" t="n">
        <x:v>-48828407021</x:v>
      </x:c>
      <x:c r="O56" s="42" t="n">
        <x:f>SUM(K56:N56)</x:f>
        <x:v>-196498300366</x:v>
      </x:c>
      <x:c r="P56" s="45" t="n">
        <x:f>IFERROR(O56/J56,0)</x:f>
        <x:v>-0.026524030483607734</x:v>
      </x:c>
    </x:row>
    <x:row r="57">
      <x:c r="A57" s="33" t="n">
        <x:v>53</x:v>
      </x:c>
      <x:c r="B57" s="30" t="str">
        <x:v>SK가스</x:v>
      </x:c>
      <x:c r="C57" s="36" t="n">
        <x:v>144164</x:v>
      </x:c>
      <x:c r="D57" s="39" t="n">
        <x:v>18670</x:v>
      </x:c>
      <x:c r="E57" s="33" t="str">
        <x:v>CFS</x:v>
      </x:c>
      <x:c r="F57" s="42" t="n">
        <x:v>2149849320301</x:v>
      </x:c>
      <x:c r="G57" s="42" t="n">
        <x:v>1494066797502</x:v>
      </x:c>
      <x:c r="H57" s="42" t="n">
        <x:v>1720146558455</x:v>
      </x:c>
      <x:c r="I57" s="42" t="n">
        <x:v>1628194714599</x:v>
      </x:c>
      <x:c r="J57" s="42" t="n">
        <x:f>SUM(F57:I57)</x:f>
        <x:v>6992257390857</x:v>
      </x:c>
      <x:c r="K57" s="42" t="n">
        <x:v>207786607606</x:v>
      </x:c>
      <x:c r="L57" s="42" t="n">
        <x:v>66784627488</x:v>
      </x:c>
      <x:c r="M57" s="42" t="n">
        <x:v>57660757738</x:v>
      </x:c>
      <x:c r="N57" s="42" t="n">
        <x:v>-28636524102</x:v>
      </x:c>
      <x:c r="O57" s="42" t="n">
        <x:f>SUM(K57:N57)</x:f>
        <x:v>303595468730</x:v>
      </x:c>
      <x:c r="P57" s="45" t="n">
        <x:f>IFERROR(O57/J57,0)</x:f>
        <x:v>0.043418806225151</x:v>
      </x:c>
    </x:row>
    <x:row r="58">
      <x:c r="A58" s="33" t="n">
        <x:v>54</x:v>
      </x:c>
      <x:c r="B58" s="30" t="str">
        <x:v>에코프로비엠</x:v>
      </x:c>
      <x:c r="C58" s="36" t="n">
        <x:v>1160363</x:v>
      </x:c>
      <x:c r="D58" s="39" t="n">
        <x:v>247540</x:v>
      </x:c>
      <x:c r="E58" s="33" t="str">
        <x:v>CFS</x:v>
      </x:c>
      <x:c r="F58" s="42" t="n">
        <x:v>2010989897316</x:v>
      </x:c>
      <x:c r="G58" s="42" t="n">
        <x:v>1906226538828</x:v>
      </x:c>
      <x:c r="H58" s="42" t="n">
        <x:v>1803254041355</x:v>
      </x:c>
      <x:c r="I58" s="42" t="n">
        <x:v>1180397366036</x:v>
      </x:c>
      <x:c r="J58" s="42" t="n">
        <x:f>SUM(F58:I58)</x:f>
        <x:v>6900867843535</x:v>
      </x:c>
      <x:c r="K58" s="42" t="n">
        <x:v>107327003425</x:v>
      </x:c>
      <x:c r="L58" s="42" t="n">
        <x:v>114700920024</x:v>
      </x:c>
      <x:c r="M58" s="42" t="n">
        <x:v>45873974211</x:v>
      </x:c>
      <x:c r="N58" s="42" t="n">
        <x:v>-111871962266</x:v>
      </x:c>
      <x:c r="O58" s="42" t="n">
        <x:f>SUM(K58:N58)</x:f>
        <x:v>156029935394</x:v>
      </x:c>
      <x:c r="P58" s="45" t="n">
        <x:f>IFERROR(O58/J58,0)</x:f>
        <x:v>0.022610190331376203</x:v>
      </x:c>
    </x:row>
    <x:row r="59">
      <x:c r="A59" s="33" t="n">
        <x:v>55</x:v>
      </x:c>
      <x:c r="B59" s="30" t="str">
        <x:v>LG생활건강</x:v>
      </x:c>
      <x:c r="C59" s="36" t="n">
        <x:v>356370</x:v>
      </x:c>
      <x:c r="D59" s="39" t="n">
        <x:v>51900</x:v>
      </x:c>
      <x:c r="E59" s="33" t="str">
        <x:v>CFS</x:v>
      </x:c>
      <x:c r="F59" s="42" t="n">
        <x:v>1683723394359</x:v>
      </x:c>
      <x:c r="G59" s="42" t="n">
        <x:v>1807719998272</x:v>
      </x:c>
      <x:c r="H59" s="42" t="n">
        <x:v>1746181026542</x:v>
      </x:c>
      <x:c r="I59" s="42" t="n">
        <x:v>1567214950956</x:v>
      </x:c>
      <x:c r="J59" s="42" t="n">
        <x:f>SUM(F59:I59)</x:f>
        <x:v>6804839370129</x:v>
      </x:c>
      <x:c r="K59" s="42" t="n">
        <x:v>145918281869</x:v>
      </x:c>
      <x:c r="L59" s="42" t="n">
        <x:v>157849151171</x:v>
      </x:c>
      <x:c r="M59" s="42" t="n">
        <x:v>128497960202</x:v>
      </x:c>
      <x:c r="N59" s="42" t="n">
        <x:v>54715831500</x:v>
      </x:c>
      <x:c r="O59" s="42" t="n">
        <x:f>SUM(K59:N59)</x:f>
        <x:v>486981224742</x:v>
      </x:c>
      <x:c r="P59" s="45" t="n">
        <x:f>IFERROR(O59/J59,0)</x:f>
        <x:v>0.07156395592226422</x:v>
      </x:c>
    </x:row>
    <x:row r="60">
      <x:c r="A60" s="33" t="n">
        <x:v>56</x:v>
      </x:c>
      <x:c r="B60" s="30" t="str">
        <x:v>금호석유화학</x:v>
      </x:c>
      <x:c r="C60" s="36" t="n">
        <x:v>106368</x:v>
      </x:c>
      <x:c r="D60" s="39" t="n">
        <x:v>11780</x:v>
      </x:c>
      <x:c r="E60" s="33" t="str">
        <x:v>CFS</x:v>
      </x:c>
      <x:c r="F60" s="42" t="n">
        <x:v>1721256565798</x:v>
      </x:c>
      <x:c r="G60" s="42" t="n">
        <x:v>1578132239215</x:v>
      </x:c>
      <x:c r="H60" s="42" t="n">
        <x:v>1507018131314</x:v>
      </x:c>
      <x:c r="I60" s="42" t="n">
        <x:v>1516121251455</x:v>
      </x:c>
      <x:c r="J60" s="42" t="n">
        <x:f>SUM(F60:I60)</x:f>
        <x:v>6322528187782</x:v>
      </x:c>
      <x:c r="K60" s="42" t="n">
        <x:v>130159828702</x:v>
      </x:c>
      <x:c r="L60" s="42" t="n">
        <x:v>107923263670</x:v>
      </x:c>
      <x:c r="M60" s="42" t="n">
        <x:v>84198712253</x:v>
      </x:c>
      <x:c r="N60" s="42" t="n">
        <x:v>36680077335</x:v>
      </x:c>
      <x:c r="O60" s="42" t="n">
        <x:f>SUM(K60:N60)</x:f>
        <x:v>358961881960</x:v>
      </x:c>
      <x:c r="P60" s="45" t="n">
        <x:f>IFERROR(O60/J60,0)</x:f>
        <x:v>0.056775054424221885</x:v>
      </x:c>
    </x:row>
    <x:row r="61">
      <x:c r="A61" s="33" t="n">
        <x:v>57</x:v>
      </x:c>
      <x:c r="B61" s="30" t="str">
        <x:v>KT&amp;G</x:v>
      </x:c>
      <x:c r="C61" s="36" t="n">
        <x:v>244455</x:v>
      </x:c>
      <x:c r="D61" s="39" t="n">
        <x:v>33780</x:v>
      </x:c>
      <x:c r="E61" s="33" t="str">
        <x:v>CFS</x:v>
      </x:c>
      <x:c r="F61" s="42" t="n">
        <x:v>1395670180002</x:v>
      </x:c>
      <x:c r="G61" s="42" t="n">
        <x:v>1335994924072</x:v>
      </x:c>
      <x:c r="H61" s="42" t="n">
        <x:v>1689509561552</x:v>
      </x:c>
      <x:c r="I61" s="42" t="n">
        <x:v>1441433334374</x:v>
      </x:c>
      <x:c r="J61" s="42" t="n">
        <x:f>SUM(F61:I61)</x:f>
        <x:v>5862608000000</x:v>
      </x:c>
      <x:c r="K61" s="42" t="n">
        <x:v>316546520948</x:v>
      </x:c>
      <x:c r="L61" s="42" t="n">
        <x:v>246106120624</x:v>
      </x:c>
      <x:c r="M61" s="42" t="n">
        <x:v>406717127965</x:v>
      </x:c>
      <x:c r="N61" s="42" t="n">
        <x:v>197966230463</x:v>
      </x:c>
      <x:c r="O61" s="42" t="n">
        <x:f>SUM(K61:N61)</x:f>
        <x:v>1167336000000</x:v>
      </x:c>
      <x:c r="P61" s="45" t="n">
        <x:f>IFERROR(O61/J61,0)</x:f>
        <x:v>0.19911547898136803</x:v>
      </x:c>
    </x:row>
    <x:row r="62">
      <x:c r="A62" s="33" t="n">
        <x:v>58</x:v>
      </x:c>
      <x:c r="B62" s="30" t="str">
        <x:v>CJ ENM</x:v>
      </x:c>
      <x:c r="C62" s="36" t="n">
        <x:v>265324</x:v>
      </x:c>
      <x:c r="D62" s="39" t="n">
        <x:v>35760</x:v>
      </x:c>
      <x:c r="E62" s="33" t="str">
        <x:v>CFS</x:v>
      </x:c>
      <x:c r="F62" s="42" t="n">
        <x:v>948985957109</x:v>
      </x:c>
      <x:c r="G62" s="42" t="n">
        <x:v>1048878278451</x:v>
      </x:c>
      <x:c r="H62" s="42" t="n">
        <x:v>1110868086947</x:v>
      </x:c>
      <x:c r="I62" s="42" t="n">
        <x:v>1259628334005</x:v>
      </x:c>
      <x:c r="J62" s="42" t="n">
        <x:f>SUM(F62:I62)</x:f>
        <x:v>4368360656512</x:v>
      </x:c>
      <x:c r="K62" s="42" t="n">
        <x:v>-50343560773</x:v>
      </x:c>
      <x:c r="L62" s="42" t="n">
        <x:v>-30363248922</x:v>
      </x:c>
      <x:c r="M62" s="42" t="n">
        <x:v>7405467192</x:v>
      </x:c>
      <x:c r="N62" s="42" t="n">
        <x:v>58700964915</x:v>
      </x:c>
      <x:c r="O62" s="42" t="n">
        <x:f>SUM(K62:N62)</x:f>
        <x:v>-14600377588</x:v>
      </x:c>
      <x:c r="P62" s="45" t="n">
        <x:f>IFERROR(O62/J62,0)</x:f>
        <x:v>-0.003342301319886428</x:v>
      </x:c>
    </x:row>
    <x:row r="63">
      <x:c r="A63" s="33" t="n">
        <x:v>59</x:v>
      </x:c>
      <x:c r="B63" s="30" t="str">
        <x:v>팬오션</x:v>
      </x:c>
      <x:c r="C63" s="36" t="n">
        <x:v>122737</x:v>
      </x:c>
      <x:c r="D63" s="39" t="n">
        <x:v>28670</x:v>
      </x:c>
      <x:c r="E63" s="33" t="str">
        <x:v>CFS</x:v>
      </x:c>
      <x:c r="F63" s="42" t="n">
        <x:v>996439000000</x:v>
      </x:c>
      <x:c r="G63" s="42" t="n">
        <x:v>1224746000000</x:v>
      </x:c>
      <x:c r="H63" s="42" t="n">
        <x:v>1111597000000</x:v>
      </x:c>
      <x:c r="I63" s="42" t="n">
        <x:v>1028200000000</x:v>
      </x:c>
      <x:c r="J63" s="42" t="n">
        <x:f>SUM(F63:I63)</x:f>
        <x:v>4360982000000</x:v>
      </x:c>
      <x:c r="K63" s="42" t="n">
        <x:v>112646000000</x:v>
      </x:c>
      <x:c r="L63" s="42" t="n">
        <x:v>125039000000</x:v>
      </x:c>
      <x:c r="M63" s="42" t="n">
        <x:v>79465000000</x:v>
      </x:c>
      <x:c r="N63" s="42" t="n">
        <x:v>68704000000</x:v>
      </x:c>
      <x:c r="O63" s="42" t="n">
        <x:f>SUM(K63:N63)</x:f>
        <x:v>385854000000</x:v>
      </x:c>
      <x:c r="P63" s="45" t="n">
        <x:f>IFERROR(O63/J63,0)</x:f>
        <x:v>0.08847869585336514</x:v>
      </x:c>
    </x:row>
    <x:row r="64">
      <x:c r="A64" s="33" t="n">
        <x:v>60</x:v>
      </x:c>
      <x:c r="B64" s="30" t="str">
        <x:v>현대백화점</x:v>
      </x:c>
      <x:c r="C64" s="36" t="n">
        <x:v>428251</x:v>
      </x:c>
      <x:c r="D64" s="39" t="n">
        <x:v>69960</x:v>
      </x:c>
      <x:c r="E64" s="33" t="str">
        <x:v>CFS</x:v>
      </x:c>
      <x:c r="F64" s="42" t="n">
        <x:v>1097731719000</x:v>
      </x:c>
      <x:c r="G64" s="42" t="n">
        <x:v>970276299000</x:v>
      </x:c>
      <x:c r="H64" s="42" t="n">
        <x:v>1004236661000</x:v>
      </x:c>
      <x:c r="I64" s="42" t="n">
        <x:v>1135208216000</x:v>
      </x:c>
      <x:c r="J64" s="42" t="n">
        <x:f>SUM(F64:I64)</x:f>
        <x:v>4207452895000</x:v>
      </x:c>
      <x:c r="K64" s="42" t="n">
        <x:v>77866725000</x:v>
      </x:c>
      <x:c r="L64" s="42" t="n">
        <x:v>55629095000</x:v>
      </x:c>
      <x:c r="M64" s="42" t="n">
        <x:v>73978187000</x:v>
      </x:c>
      <x:c r="N64" s="42" t="n">
        <x:v>95995756000</x:v>
      </x:c>
      <x:c r="O64" s="42" t="n">
        <x:f>SUM(K64:N64)</x:f>
        <x:v>303469763000</x:v>
      </x:c>
      <x:c r="P64" s="45" t="n">
        <x:f>IFERROR(O64/J64,0)</x:f>
        <x:v>0.07212671670326568</x:v>
      </x:c>
    </x:row>
    <x:row r="65">
      <x:c r="A65" s="33" t="n">
        <x:v>61</x:v>
      </x:c>
      <x:c r="B65" s="30" t="str">
        <x:v>풍산</x:v>
      </x:c>
      <x:c r="C65" s="36" t="n">
        <x:v>684714</x:v>
      </x:c>
      <x:c r="D65" s="39" t="n">
        <x:v>103140</x:v>
      </x:c>
      <x:c r="E65" s="33" t="str">
        <x:v>CFS</x:v>
      </x:c>
      <x:c r="F65" s="42" t="n">
        <x:v>1044890150269</x:v>
      </x:c>
      <x:c r="G65" s="42" t="n">
        <x:v>1035911143114</x:v>
      </x:c>
      <x:c r="H65" s="42" t="n">
        <x:v>930786713240</x:v>
      </x:c>
      <x:c r="I65" s="42" t="n">
        <x:v>1113675940634</x:v>
      </x:c>
      <x:c r="J65" s="42" t="n">
        <x:f>SUM(F65:I65)</x:f>
        <x:v>4125263947257</x:v>
      </x:c>
      <x:c r="K65" s="42" t="n">
        <x:v>84847321183</x:v>
      </x:c>
      <x:c r="L65" s="42" t="n">
        <x:v>53878426495</x:v>
      </x:c>
      <x:c r="M65" s="42" t="n">
        <x:v>31902626615</x:v>
      </x:c>
      <x:c r="N65" s="42" t="n">
        <x:v>58008106425</x:v>
      </x:c>
      <x:c r="O65" s="42" t="n">
        <x:f>SUM(K65:N65)</x:f>
        <x:v>228636480718</x:v>
      </x:c>
      <x:c r="P65" s="45" t="n">
        <x:f>IFERROR(O65/J65,0)</x:f>
        <x:v>0.05542347923458973</x:v>
      </x:c>
    </x:row>
    <x:row r="66">
      <x:c r="A66" s="33" t="n">
        <x:v>62</x:v>
      </x:c>
      <x:c r="B66" s="30" t="str">
        <x:v>대상</x:v>
      </x:c>
      <x:c r="C66" s="36" t="n">
        <x:v>121941</x:v>
      </x:c>
      <x:c r="D66" s="39" t="n">
        <x:v>1680</x:v>
      </x:c>
      <x:c r="E66" s="33" t="str">
        <x:v>CFS</x:v>
      </x:c>
      <x:c r="F66" s="42" t="n">
        <x:v>989634209243</x:v>
      </x:c>
      <x:c r="G66" s="42" t="n">
        <x:v>1003772408984</x:v>
      </x:c>
      <x:c r="H66" s="42" t="n">
        <x:v>1123639114938</x:v>
      </x:c>
      <x:c r="I66" s="42" t="n">
        <x:v>990448210640</x:v>
      </x:c>
      <x:c r="J66" s="42" t="n">
        <x:f>SUM(F66:I66)</x:f>
        <x:v>4107493943805</x:v>
      </x:c>
      <x:c r="K66" s="42" t="n">
        <x:v>24902037389</x:v>
      </x:c>
      <x:c r="L66" s="42" t="n">
        <x:v>33626582340</x:v>
      </x:c>
      <x:c r="M66" s="42" t="n">
        <x:v>51676570328</x:v>
      </x:c>
      <x:c r="N66" s="42" t="n">
        <x:v>13511457158</x:v>
      </x:c>
      <x:c r="O66" s="42" t="n">
        <x:f>SUM(K66:N66)</x:f>
        <x:v>123716647215</x:v>
      </x:c>
      <x:c r="P66" s="45" t="n">
        <x:f>IFERROR(O66/J66,0)</x:f>
        <x:v>0.030119739409863715</x:v>
      </x:c>
    </x:row>
    <x:row r="67">
      <x:c r="A67" s="33" t="n">
        <x:v>63</x:v>
      </x:c>
      <x:c r="B67" s="30" t="str">
        <x:v>세아베스틸지주</x:v>
      </x:c>
      <x:c r="C67" s="36" t="n">
        <x:v>106669</x:v>
      </x:c>
      <x:c r="D67" s="39" t="n">
        <x:v>1430</x:v>
      </x:c>
      <x:c r="E67" s="33" t="str">
        <x:v>CFS</x:v>
      </x:c>
      <x:c r="F67" s="42" t="n">
        <x:v>1127251242593</x:v>
      </x:c>
      <x:c r="G67" s="42" t="n">
        <x:v>1107904545884</x:v>
      </x:c>
      <x:c r="H67" s="42" t="n">
        <x:v>960394575943</x:v>
      </x:c>
      <x:c r="I67" s="42" t="n">
        <x:v>887930811505</x:v>
      </x:c>
      <x:c r="J67" s="42" t="n">
        <x:f>SUM(F67:I67)</x:f>
        <x:v>4083481175925</x:v>
      </x:c>
      <x:c r="K67" s="42" t="n">
        <x:v>71551039302</x:v>
      </x:c>
      <x:c r="L67" s="42" t="n">
        <x:v>82297215628</x:v>
      </x:c>
      <x:c r="M67" s="42" t="n">
        <x:v>41661599372</x:v>
      </x:c>
      <x:c r="N67" s="42" t="n">
        <x:v>1180306379</x:v>
      </x:c>
      <x:c r="O67" s="42" t="n">
        <x:f>SUM(K67:N67)</x:f>
        <x:v>196690160681</x:v>
      </x:c>
      <x:c r="P67" s="45" t="n">
        <x:f>IFERROR(O67/J67,0)</x:f>
        <x:v>0.04816727498111835</x:v>
      </x:c>
    </x:row>
    <x:row r="68">
      <x:c r="A68" s="33" t="n">
        <x:v>64</x:v>
      </x:c>
      <x:c r="B68" s="30" t="str">
        <x:v>한국항공우주</x:v>
      </x:c>
      <x:c r="C68" s="36" t="n">
        <x:v>309503</x:v>
      </x:c>
      <x:c r="D68" s="39" t="n">
        <x:v>47810</x:v>
      </x:c>
      <x:c r="E68" s="33" t="str">
        <x:v>CFS</x:v>
      </x:c>
      <x:c r="F68" s="42" t="n">
        <x:v>568745902535</x:v>
      </x:c>
      <x:c r="G68" s="42" t="n">
        <x:v>733450213207</x:v>
      </x:c>
      <x:c r="H68" s="42" t="n">
        <x:v>1007116555474</x:v>
      </x:c>
      <x:c r="I68" s="42" t="n">
        <x:v>1510031711230</x:v>
      </x:c>
      <x:c r="J68" s="42" t="n">
        <x:f>SUM(F68:I68)</x:f>
        <x:v>3819344382446</x:v>
      </x:c>
      <x:c r="K68" s="42" t="n">
        <x:v>19398657454</x:v>
      </x:c>
      <x:c r="L68" s="42" t="n">
        <x:v>8388149913</x:v>
      </x:c>
      <x:c r="M68" s="42" t="n">
        <x:v>65380821139</x:v>
      </x:c>
      <x:c r="N68" s="42" t="n">
        <x:v>154342854649</x:v>
      </x:c>
      <x:c r="O68" s="42" t="n">
        <x:f>SUM(K68:N68)</x:f>
        <x:v>247510483155</x:v>
      </x:c>
      <x:c r="P68" s="45" t="n">
        <x:f>IFERROR(O68/J68,0)</x:f>
        <x:v>0.06480444243063736</x:v>
      </x:c>
    </x:row>
    <x:row r="69">
      <x:c r="A69" s="33" t="n">
        <x:v>65</x:v>
      </x:c>
      <x:c r="B69" s="30" t="str">
        <x:v>삼성바이오로직스</x:v>
      </x:c>
      <x:c r="C69" s="36" t="n">
        <x:v>877059</x:v>
      </x:c>
      <x:c r="D69" s="39" t="n">
        <x:v>207940</x:v>
      </x:c>
      <x:c r="E69" s="33" t="str">
        <x:v>CFS</x:v>
      </x:c>
      <x:c r="F69" s="42" t="n">
        <x:v>720922039328</x:v>
      </x:c>
      <x:c r="G69" s="42" t="n">
        <x:v>866184569567</x:v>
      </x:c>
      <x:c r="H69" s="42" t="n">
        <x:v>1033973428953</x:v>
      </x:c>
      <x:c r="I69" s="42" t="n">
        <x:v>1073508729220</x:v>
      </x:c>
      <x:c r="J69" s="42" t="n">
        <x:f>SUM(F69:I69)</x:f>
        <x:v>3694588767068</x:v>
      </x:c>
      <x:c r="K69" s="42" t="n">
        <x:v>191741706592</x:v>
      </x:c>
      <x:c r="L69" s="42" t="n">
        <x:v>253439139660</x:v>
      </x:c>
      <x:c r="M69" s="42" t="n">
        <x:v>318531252670</x:v>
      </x:c>
      <x:c r="N69" s="42" t="n">
        <x:v>349967910793</x:v>
      </x:c>
      <x:c r="O69" s="42" t="n">
        <x:f>SUM(K69:N69)</x:f>
        <x:v>1113680009715</x:v>
      </x:c>
      <x:c r="P69" s="45" t="n">
        <x:f>IFERROR(O69/J69,0)</x:f>
        <x:v>0.3014354451683154</x:v>
      </x:c>
    </x:row>
    <x:row r="70">
      <x:c r="A70" s="33" t="n">
        <x:v>66</x:v>
      </x:c>
      <x:c r="B70" s="30" t="str">
        <x:v>아모레퍼시픽</x:v>
      </x:c>
      <x:c r="C70" s="36" t="n">
        <x:v>583424</x:v>
      </x:c>
      <x:c r="D70" s="39" t="n">
        <x:v>90430</x:v>
      </x:c>
      <x:c r="E70" s="33" t="str">
        <x:v>CFS</x:v>
      </x:c>
      <x:c r="F70" s="42" t="n">
        <x:v>913697617945</x:v>
      </x:c>
      <x:c r="G70" s="42" t="n">
        <x:v>945384372586</x:v>
      </x:c>
      <x:c r="H70" s="42" t="n">
        <x:v>888832482657</x:v>
      </x:c>
      <x:c r="I70" s="42" t="n">
        <x:v>926049119969</x:v>
      </x:c>
      <x:c r="J70" s="42" t="n">
        <x:f>SUM(F70:I70)</x:f>
        <x:v>3673963593157</x:v>
      </x:c>
      <x:c r="K70" s="42" t="n">
        <x:v>64352596937</x:v>
      </x:c>
      <x:c r="L70" s="42" t="n">
        <x:v>5888759554</x:v>
      </x:c>
      <x:c r="M70" s="42" t="n">
        <x:v>17253435444</x:v>
      </x:c>
      <x:c r="N70" s="42" t="n">
        <x:v>20676465127</x:v>
      </x:c>
      <x:c r="O70" s="42" t="n">
        <x:f>SUM(K70:N70)</x:f>
        <x:v>108171257062</x:v>
      </x:c>
      <x:c r="P70" s="45" t="n">
        <x:f>IFERROR(O70/J70,0)</x:f>
        <x:v>0.029442658948356515</x:v>
      </x:c>
    </x:row>
    <x:row r="71">
      <x:c r="A71" s="33" t="n">
        <x:v>67</x:v>
      </x:c>
      <x:c r="B71" s="30" t="str">
        <x:v>영원무역</x:v>
      </x:c>
      <x:c r="C71" s="36" t="n">
        <x:v>776820</x:v>
      </x:c>
      <x:c r="D71" s="39" t="n">
        <x:v>111770</x:v>
      </x:c>
      <x:c r="E71" s="33" t="str">
        <x:v>CFS</x:v>
      </x:c>
      <x:c r="F71" s="42" t="n">
        <x:v>840564177764</x:v>
      </x:c>
      <x:c r="G71" s="42" t="n">
        <x:v>1007780921299</x:v>
      </x:c>
      <x:c r="H71" s="42" t="n">
        <x:v>998771859462</x:v>
      </x:c>
      <x:c r="I71" s="42" t="n">
        <x:v>757260066879</x:v>
      </x:c>
      <x:c r="J71" s="42" t="n">
        <x:f>SUM(F71:I71)</x:f>
        <x:v>3604377025404</x:v>
      </x:c>
      <x:c r="K71" s="42" t="n">
        <x:v>167160534840</x:v>
      </x:c>
      <x:c r="L71" s="42" t="n">
        <x:v>210554031333</x:v>
      </x:c>
      <x:c r="M71" s="42" t="n">
        <x:v>179945175706</x:v>
      </x:c>
      <x:c r="N71" s="42" t="n">
        <x:v>79486626955</x:v>
      </x:c>
      <x:c r="O71" s="42" t="n">
        <x:f>SUM(K71:N71)</x:f>
        <x:v>637146368834</x:v>
      </x:c>
      <x:c r="P71" s="45" t="n">
        <x:f>IFERROR(O71/J71,0)</x:f>
        <x:v>0.17677017813156903</x:v>
      </x:c>
    </x:row>
    <x:row r="72">
      <x:c r="A72" s="33" t="n">
        <x:v>68</x:v>
      </x:c>
      <x:c r="B72" s="30" t="str">
        <x:v>현대로템</x:v>
      </x:c>
      <x:c r="C72" s="36" t="n">
        <x:v>302926</x:v>
      </x:c>
      <x:c r="D72" s="39" t="n">
        <x:v>64350</x:v>
      </x:c>
      <x:c r="E72" s="33" t="str">
        <x:v>CFS</x:v>
      </x:c>
      <x:c r="F72" s="42" t="n">
        <x:v>684447237000</x:v>
      </x:c>
      <x:c r="G72" s="42" t="n">
        <x:v>986805812000</x:v>
      </x:c>
      <x:c r="H72" s="42" t="n">
        <x:v>926953039000</x:v>
      </x:c>
      <x:c r="I72" s="42" t="n">
        <x:v>989176365000</x:v>
      </x:c>
      <x:c r="J72" s="42" t="n">
        <x:f>SUM(F72:I72)</x:f>
        <x:v>3587382453000</x:v>
      </x:c>
      <x:c r="K72" s="42" t="n">
        <x:v>31908688000</x:v>
      </x:c>
      <x:c r="L72" s="42" t="n">
        <x:v>67240835000</x:v>
      </x:c>
      <x:c r="M72" s="42" t="n">
        <x:v>41115003000</x:v>
      </x:c>
      <x:c r="N72" s="42" t="n">
        <x:v>69782066000</x:v>
      </x:c>
      <x:c r="O72" s="42" t="n">
        <x:f>SUM(K72:N72)</x:f>
        <x:v>210046592000</x:v>
      </x:c>
      <x:c r="P72" s="45" t="n">
        <x:f>IFERROR(O72/J72,0)</x:f>
        <x:v>0.058551491164357324</x:v>
      </x:c>
    </x:row>
    <x:row r="73">
      <x:c r="A73" s="33" t="n">
        <x:v>69</x:v>
      </x:c>
      <x:c r="B73" s="30" t="str">
        <x:v>호텔신라</x:v>
      </x:c>
      <x:c r="C73" s="36" t="n">
        <x:v>165680</x:v>
      </x:c>
      <x:c r="D73" s="39" t="n">
        <x:v>8770</x:v>
      </x:c>
      <x:c r="E73" s="33" t="str">
        <x:v>CFS</x:v>
      </x:c>
      <x:c r="F73" s="42" t="n">
        <x:v>752139598763</x:v>
      </x:c>
      <x:c r="G73" s="42" t="n">
        <x:v>866924997036</x:v>
      </x:c>
      <x:c r="H73" s="42" t="n">
        <x:v>1011781877382</x:v>
      </x:c>
      <x:c r="I73" s="42" t="n">
        <x:v>937619708148</x:v>
      </x:c>
      <x:c r="J73" s="42" t="n">
        <x:f>SUM(F73:I73)</x:f>
        <x:v>3568466181329</x:v>
      </x:c>
      <x:c r="K73" s="42" t="n">
        <x:v>34525080380</x:v>
      </x:c>
      <x:c r="L73" s="42" t="n">
        <x:v>67225244754</x:v>
      </x:c>
      <x:c r="M73" s="42" t="n">
        <x:v>7741251809</x:v>
      </x:c>
      <x:c r="N73" s="42" t="n">
        <x:v>-18261129127</x:v>
      </x:c>
      <x:c r="O73" s="42" t="n">
        <x:f>SUM(K73:N73)</x:f>
        <x:v>91230447816</x:v>
      </x:c>
      <x:c r="P73" s="45" t="n">
        <x:f>IFERROR(O73/J73,0)</x:f>
        <x:v>0.025565731375944593</x:v>
      </x:c>
    </x:row>
    <x:row r="74">
      <x:c r="A74" s="33" t="n">
        <x:v>70</x:v>
      </x:c>
      <x:c r="B74" s="30" t="str">
        <x:v>오뚜기</x:v>
      </x:c>
      <x:c r="C74" s="36" t="n">
        <x:v>141529</x:v>
      </x:c>
      <x:c r="D74" s="39" t="n">
        <x:v>7310</x:v>
      </x:c>
      <x:c r="E74" s="33" t="str">
        <x:v>CFS</x:v>
      </x:c>
      <x:c r="F74" s="42" t="n">
        <x:v>856784487208</x:v>
      </x:c>
      <x:c r="G74" s="42" t="n">
        <x:v>854207572820</x:v>
      </x:c>
      <x:c r="H74" s="42" t="n">
        <x:v>908706193314</x:v>
      </x:c>
      <x:c r="I74" s="42" t="n">
        <x:v>834850224059</x:v>
      </x:c>
      <x:c r="J74" s="42" t="n">
        <x:f>SUM(F74:I74)</x:f>
        <x:v>3454548477401</x:v>
      </x:c>
      <x:c r="K74" s="42" t="n">
        <x:v>65371208345</x:v>
      </x:c>
      <x:c r="L74" s="42" t="n">
        <x:v>64559655003</x:v>
      </x:c>
      <x:c r="M74" s="42" t="n">
        <x:v>82986868922</x:v>
      </x:c>
      <x:c r="N74" s="42" t="n">
        <x:v>41976111290</x:v>
      </x:c>
      <x:c r="O74" s="42" t="n">
        <x:f>SUM(K74:N74)</x:f>
        <x:v>254893843560</x:v>
      </x:c>
      <x:c r="P74" s="45" t="n">
        <x:f>IFERROR(O74/J74,0)</x:f>
        <x:v>0.073784995413284</x:v>
      </x:c>
    </x:row>
    <x:row r="75">
      <x:c r="A75" s="33" t="n">
        <x:v>71</x:v>
      </x:c>
      <x:c r="B75" s="30" t="str">
        <x:v>효성</x:v>
      </x:c>
      <x:c r="C75" s="36" t="n">
        <x:v>117188</x:v>
      </x:c>
      <x:c r="D75" s="39" t="n">
        <x:v>4800</x:v>
      </x:c>
      <x:c r="E75" s="33" t="str">
        <x:v>CFS</x:v>
      </x:c>
      <x:c r="F75" s="42" t="n">
        <x:v>800387192529</x:v>
      </x:c>
      <x:c r="G75" s="42" t="n">
        <x:v>906470605237</x:v>
      </x:c>
      <x:c r="H75" s="42" t="n">
        <x:v>805065563184</x:v>
      </x:c>
      <x:c r="I75" s="42" t="n">
        <x:v>924764662288</x:v>
      </x:c>
      <x:c r="J75" s="42" t="n">
        <x:f>SUM(F75:I75)</x:f>
        <x:v>3436688023238</x:v>
      </x:c>
      <x:c r="K75" s="42" t="n">
        <x:v>11861511045</x:v>
      </x:c>
      <x:c r="L75" s="42" t="n">
        <x:v>18672532009</x:v>
      </x:c>
      <x:c r="M75" s="42" t="n">
        <x:v>44328653681</x:v>
      </x:c>
      <x:c r="N75" s="42" t="n">
        <x:v>19503828689</x:v>
      </x:c>
      <x:c r="O75" s="42" t="n">
        <x:f>SUM(K75:N75)</x:f>
        <x:v>94366525424</x:v>
      </x:c>
      <x:c r="P75" s="45" t="n">
        <x:f>IFERROR(O75/J75,0)</x:f>
        <x:v>0.02745856615029291</x:v>
      </x:c>
    </x:row>
    <x:row r="76">
      <x:c r="A76" s="33" t="n">
        <x:v>72</x:v>
      </x:c>
      <x:c r="B76" s="30" t="str">
        <x:v>농심</x:v>
      </x:c>
      <x:c r="C76" s="36" t="n">
        <x:v>108241</x:v>
      </x:c>
      <x:c r="D76" s="39" t="n">
        <x:v>4370</x:v>
      </x:c>
      <x:c r="E76" s="33" t="str">
        <x:v>CFS</x:v>
      </x:c>
      <x:c r="F76" s="42" t="n">
        <x:v>860386309724</x:v>
      </x:c>
      <x:c r="G76" s="42" t="n">
        <x:v>837521658064</x:v>
      </x:c>
      <x:c r="H76" s="42" t="n">
        <x:v>855913210848</x:v>
      </x:c>
      <x:c r="I76" s="42" t="n">
        <x:v>856738188623</x:v>
      </x:c>
      <x:c r="J76" s="42" t="n">
        <x:f>SUM(F76:I76)</x:f>
        <x:v>3410559367259</x:v>
      </x:c>
      <x:c r="K76" s="42" t="n">
        <x:v>63753403383</x:v>
      </x:c>
      <x:c r="L76" s="42" t="n">
        <x:v>53698552577</x:v>
      </x:c>
      <x:c r="M76" s="42" t="n">
        <x:v>55674910916</x:v>
      </x:c>
      <x:c r="N76" s="42" t="n">
        <x:v>38937876579</x:v>
      </x:c>
      <x:c r="O76" s="42" t="n">
        <x:f>SUM(K76:N76)</x:f>
        <x:v>212064743455</x:v>
      </x:c>
      <x:c r="P76" s="45" t="n">
        <x:f>IFERROR(O76/J76,0)</x:f>
        <x:v>0.062178874671057933</x:v>
      </x:c>
    </x:row>
    <x:row r="77">
      <x:c r="A77" s="33" t="n">
        <x:v>73</x:v>
      </x:c>
      <x:c r="B77" s="30" t="str">
        <x:v>롯데칠성음료</x:v>
      </x:c>
      <x:c r="C77" s="36" t="n">
        <x:v>120571</x:v>
      </x:c>
      <x:c r="D77" s="39" t="n">
        <x:v>5300</x:v>
      </x:c>
      <x:c r="E77" s="33" t="str">
        <x:v>CFS</x:v>
      </x:c>
      <x:c r="F77" s="42" t="n">
        <x:v>679795102802</x:v>
      </x:c>
      <x:c r="G77" s="42" t="n">
        <x:v>796160596171</x:v>
      </x:c>
      <x:c r="H77" s="42" t="n">
        <x:v>830365143705</x:v>
      </x:c>
      <x:c r="I77" s="42" t="n">
        <x:v>918359639131</x:v>
      </x:c>
      <x:c r="J77" s="42" t="n">
        <x:f>SUM(F77:I77)</x:f>
        <x:v>3224680481809</x:v>
      </x:c>
      <x:c r="K77" s="42" t="n">
        <x:v>59298841938</x:v>
      </x:c>
      <x:c r="L77" s="42" t="n">
        <x:v>59158170023</x:v>
      </x:c>
      <x:c r="M77" s="42" t="n">
        <x:v>84253929189</x:v>
      </x:c>
      <x:c r="N77" s="42" t="n">
        <x:v>7958811431</x:v>
      </x:c>
      <x:c r="O77" s="42" t="n">
        <x:f>SUM(K77:N77)</x:f>
        <x:v>210669752581</x:v>
      </x:c>
      <x:c r="P77" s="45" t="n">
        <x:f>IFERROR(O77/J77,0)</x:f>
        <x:v>0.06533042692738887</x:v>
      </x:c>
    </x:row>
    <x:row r="78">
      <x:c r="A78" s="33" t="n">
        <x:v>74</x:v>
      </x:c>
      <x:c r="B78" s="30" t="str">
        <x:v>오리온</x:v>
      </x:c>
      <x:c r="C78" s="36" t="n">
        <x:v>1238169</x:v>
      </x:c>
      <x:c r="D78" s="39" t="n">
        <x:v>271560</x:v>
      </x:c>
      <x:c r="E78" s="33" t="str">
        <x:v>CFS</x:v>
      </x:c>
      <x:c r="F78" s="42" t="n">
        <x:v>663806635374</x:v>
      </x:c>
      <x:c r="G78" s="42" t="n">
        <x:v>713866930769</x:v>
      </x:c>
      <x:c r="H78" s="42" t="n">
        <x:v>766316986696</x:v>
      </x:c>
      <x:c r="I78" s="42" t="n">
        <x:v>768367498636</x:v>
      </x:c>
      <x:c r="J78" s="42" t="n">
        <x:f>SUM(F78:I78)</x:f>
        <x:v>2912358051475</x:v>
      </x:c>
      <x:c r="K78" s="42" t="n">
        <x:v>99149628633</x:v>
      </x:c>
      <x:c r="L78" s="42" t="n">
        <x:v>112239611506</x:v>
      </x:c>
      <x:c r="M78" s="42" t="n">
        <x:v>140654953219</x:v>
      </x:c>
      <x:c r="N78" s="42" t="n">
        <x:v>140346956146</x:v>
      </x:c>
      <x:c r="O78" s="42" t="n">
        <x:f>SUM(K78:N78)</x:f>
        <x:v>492391149504</x:v>
      </x:c>
      <x:c r="P78" s="45" t="n">
        <x:f>IFERROR(O78/J78,0)</x:f>
        <x:v>0.16906957894638758</x:v>
      </x:c>
    </x:row>
    <x:row r="79">
      <x:c r="A79" s="33" t="n">
        <x:v>75</x:v>
      </x:c>
      <x:c r="B79" s="30" t="str">
        <x:v>동국제강</x:v>
      </x:c>
      <x:c r="C79" s="36" t="n">
        <x:v>1765265</x:v>
      </x:c>
      <x:c r="D79" s="39" t="n">
        <x:v>460860</x:v>
      </x:c>
      <x:c r="E79" s="33" t="str">
        <x:v>OFS</x:v>
      </x:c>
      <x:c r="F79" s="42"/>
      <x:c r="G79" s="42" t="n">
        <x:v>430478607727</x:v>
      </x:c>
      <x:c r="H79" s="42" t="n">
        <x:v>1078997293658</x:v>
      </x:c>
      <x:c r="I79" s="42" t="n">
        <x:v>1122628227922</x:v>
      </x:c>
      <x:c r="J79" s="42" t="n">
        <x:f>SUM(F79:I79)</x:f>
        <x:v>2632104129307</x:v>
      </x:c>
      <x:c r="K79" s="42"/>
      <x:c r="L79" s="42" t="n">
        <x:v>51494596139</x:v>
      </x:c>
      <x:c r="M79" s="42" t="n">
        <x:v>105433897794</x:v>
      </x:c>
      <x:c r="N79" s="42" t="n">
        <x:v>78561430914</x:v>
      </x:c>
      <x:c r="O79" s="42" t="n">
        <x:f>SUM(K79:N79)</x:f>
        <x:v>235489924847</x:v>
      </x:c>
      <x:c r="P79" s="45" t="n">
        <x:f>IFERROR(O79/J79,0)</x:f>
        <x:v>0.08946831632721215</x:v>
      </x:c>
    </x:row>
    <x:row r="80">
      <x:c r="A80" s="33" t="n">
        <x:v>76</x:v>
      </x:c>
      <x:c r="B80" s="30" t="str">
        <x:v>하이트진로</x:v>
      </x:c>
      <x:c r="C80" s="36" t="n">
        <x:v>150244</x:v>
      </x:c>
      <x:c r="D80" s="39" t="n">
        <x:v>80</x:v>
      </x:c>
      <x:c r="E80" s="33" t="str">
        <x:v>CFS</x:v>
      </x:c>
      <x:c r="F80" s="42" t="n">
        <x:v>603474656497</x:v>
      </x:c>
      <x:c r="G80" s="42" t="n">
        <x:v>641553422311</x:v>
      </x:c>
      <x:c r="H80" s="42" t="n">
        <x:v>654384982866</x:v>
      </x:c>
      <x:c r="I80" s="42" t="n">
        <x:v>620768489955</x:v>
      </x:c>
      <x:c r="J80" s="42" t="n">
        <x:f>SUM(F80:I80)</x:f>
        <x:v>2520181551629</x:v>
      </x:c>
      <x:c r="K80" s="42" t="n">
        <x:v>38695022647</x:v>
      </x:c>
      <x:c r="L80" s="42" t="n">
        <x:v>11918130720</x:v>
      </x:c>
      <x:c r="M80" s="42" t="n">
        <x:v>43457660274</x:v>
      </x:c>
      <x:c r="N80" s="42" t="n">
        <x:v>29849169739</x:v>
      </x:c>
      <x:c r="O80" s="42" t="n">
        <x:f>SUM(K80:N80)</x:f>
        <x:v>123919983380</x:v>
      </x:c>
      <x:c r="P80" s="45" t="n">
        <x:f>IFERROR(O80/J80,0)</x:f>
        <x:v>0.049171054085329825</x:v>
      </x:c>
    </x:row>
    <x:row r="81">
      <x:c r="A81" s="33" t="n">
        <x:v>77</x:v>
      </x:c>
      <x:c r="B81" s="30" t="str">
        <x:v>넷마블</x:v>
      </x:c>
      <x:c r="C81" s="36" t="n">
        <x:v>904672</x:v>
      </x:c>
      <x:c r="D81" s="39" t="n">
        <x:v>251270</x:v>
      </x:c>
      <x:c r="E81" s="33" t="str">
        <x:v>CFS</x:v>
      </x:c>
      <x:c r="F81" s="42" t="n">
        <x:v>602610785532</x:v>
      </x:c>
      <x:c r="G81" s="42" t="n">
        <x:v>603328334847</x:v>
      </x:c>
      <x:c r="H81" s="42" t="n">
        <x:v>630560881479</x:v>
      </x:c>
      <x:c r="I81" s="42" t="n">
        <x:v>665555597913</x:v>
      </x:c>
      <x:c r="J81" s="42" t="n">
        <x:f>SUM(F81:I81)</x:f>
        <x:v>2502055599771</x:v>
      </x:c>
      <x:c r="K81" s="42" t="n">
        <x:v>-28192788197</x:v>
      </x:c>
      <x:c r="L81" s="42" t="n">
        <x:v>-37233666799</x:v>
      </x:c>
      <x:c r="M81" s="42" t="n">
        <x:v>-21880387866</x:v>
      </x:c>
      <x:c r="N81" s="42" t="n">
        <x:v>18838658553</x:v>
      </x:c>
      <x:c r="O81" s="42" t="n">
        <x:f>SUM(K81:N81)</x:f>
        <x:v>-68468184309</x:v>
      </x:c>
      <x:c r="P81" s="45" t="n">
        <x:f>IFERROR(O81/J81,0)</x:f>
        <x:v>-0.027364773314896174</x:v>
      </x:c>
    </x:row>
    <x:row r="82">
      <x:c r="A82" s="33" t="n">
        <x:v>78</x:v>
      </x:c>
      <x:c r="B82" s="30" t="str">
        <x:v>한솔제지</x:v>
      </x:c>
      <x:c r="C82" s="36" t="n">
        <x:v>1060744</x:v>
      </x:c>
      <x:c r="D82" s="39" t="n">
        <x:v>213500</x:v>
      </x:c>
      <x:c r="E82" s="33" t="str">
        <x:v>CFS</x:v>
      </x:c>
      <x:c r="F82" s="42" t="n">
        <x:v>560999125773</x:v>
      </x:c>
      <x:c r="G82" s="42" t="n">
        <x:v>528072518649</x:v>
      </x:c>
      <x:c r="H82" s="42" t="n">
        <x:v>523536377720</x:v>
      </x:c>
      <x:c r="I82" s="42" t="n">
        <x:v>581494529416</x:v>
      </x:c>
      <x:c r="J82" s="42" t="n">
        <x:f>SUM(F82:I82)</x:f>
        <x:v>2194102551558</x:v>
      </x:c>
      <x:c r="K82" s="42" t="n">
        <x:v>7782366844</x:v>
      </x:c>
      <x:c r="L82" s="42" t="n">
        <x:v>15195663496</x:v>
      </x:c>
      <x:c r="M82" s="42" t="n">
        <x:v>14403847379</x:v>
      </x:c>
      <x:c r="N82" s="42" t="n">
        <x:v>9861639046</x:v>
      </x:c>
      <x:c r="O82" s="42" t="n">
        <x:f>SUM(K82:N82)</x:f>
        <x:v>47243516765</x:v>
      </x:c>
      <x:c r="P82" s="45" t="n">
        <x:f>IFERROR(O82/J82,0)</x:f>
        <x:v>0.02153204586150865</x:v>
      </x:c>
    </x:row>
    <x:row r="83">
      <x:c r="A83" s="33" t="n">
        <x:v>79</x:v>
      </x:c>
      <x:c r="B83" s="30" t="str">
        <x:v>셀트리온</x:v>
      </x:c>
      <x:c r="C83" s="36" t="n">
        <x:v>413046</x:v>
      </x:c>
      <x:c r="D83" s="39" t="n">
        <x:v>68270</x:v>
      </x:c>
      <x:c r="E83" s="33" t="str">
        <x:v>CFS</x:v>
      </x:c>
      <x:c r="F83" s="42" t="n">
        <x:v>597564003593</x:v>
      </x:c>
      <x:c r="G83" s="42" t="n">
        <x:v>523978430491</x:v>
      </x:c>
      <x:c r="H83" s="42" t="n">
        <x:v>672291586724</x:v>
      </x:c>
      <x:c r="I83" s="42" t="n">
        <x:v>382597510572</x:v>
      </x:c>
      <x:c r="J83" s="42" t="n">
        <x:f>SUM(F83:I83)</x:f>
        <x:v>2176431531380</x:v>
      </x:c>
      <x:c r="K83" s="42" t="n">
        <x:v>182434934168</x:v>
      </x:c>
      <x:c r="L83" s="42" t="n">
        <x:v>182993942866</x:v>
      </x:c>
      <x:c r="M83" s="42" t="n">
        <x:v>267629330730</x:v>
      </x:c>
      <x:c r="N83" s="42" t="n">
        <x:v>18423214393</x:v>
      </x:c>
      <x:c r="O83" s="42" t="n">
        <x:f>SUM(K83:N83)</x:f>
        <x:v>651481422157</x:v>
      </x:c>
      <x:c r="P83" s="45" t="n">
        <x:f>IFERROR(O83/J83,0)</x:f>
        <x:v>0.2993346736453125</x:v>
      </x:c>
    </x:row>
    <x:row r="84">
      <x:c r="A84" s="33" t="n">
        <x:v>80</x:v>
      </x:c>
      <x:c r="B84" s="30" t="str">
        <x:v>한국콜마</x:v>
      </x:c>
      <x:c r="C84" s="36" t="n">
        <x:v>939331</x:v>
      </x:c>
      <x:c r="D84" s="39" t="n">
        <x:v>161890</x:v>
      </x:c>
      <x:c r="E84" s="33" t="str">
        <x:v>CFS</x:v>
      </x:c>
      <x:c r="F84" s="42" t="n">
        <x:v>487660961331</x:v>
      </x:c>
      <x:c r="G84" s="42" t="n">
        <x:v>599737686970</x:v>
      </x:c>
      <x:c r="H84" s="42" t="n">
        <x:v>516384773087</x:v>
      </x:c>
      <x:c r="I84" s="42" t="n">
        <x:v>551892506034</x:v>
      </x:c>
      <x:c r="J84" s="42" t="n">
        <x:f>SUM(F84:I84)</x:f>
        <x:v>2155675927422</x:v>
      </x:c>
      <x:c r="K84" s="42" t="n">
        <x:v>12058574023</x:v>
      </x:c>
      <x:c r="L84" s="42" t="n">
        <x:v>55672431124</x:v>
      </x:c>
      <x:c r="M84" s="42" t="n">
        <x:v>31034500807</x:v>
      </x:c>
      <x:c r="N84" s="42" t="n">
        <x:v>37377834038</x:v>
      </x:c>
      <x:c r="O84" s="42" t="n">
        <x:f>SUM(K84:N84)</x:f>
        <x:v>136143339992</x:v>
      </x:c>
      <x:c r="P84" s="45" t="n">
        <x:f>IFERROR(O84/J84,0)</x:f>
        <x:v>0.06315575465687717</x:v>
      </x:c>
    </x:row>
    <x:row r="85">
      <x:c r="A85" s="33" t="n">
        <x:v>81</x:v>
      </x:c>
      <x:c r="B85" s="30" t="str">
        <x:v>F&amp;F</x:v>
      </x:c>
      <x:c r="C85" s="36" t="n">
        <x:v>1568413</x:v>
      </x:c>
      <x:c r="D85" s="39" t="n">
        <x:v>383220</x:v>
      </x:c>
      <x:c r="E85" s="33" t="str">
        <x:v>CFS</x:v>
      </x:c>
      <x:c r="F85" s="42" t="n">
        <x:v>497404354219</x:v>
      </x:c>
      <x:c r="G85" s="42" t="n">
        <x:v>405479877881</x:v>
      </x:c>
      <x:c r="H85" s="42" t="n">
        <x:v>492815453747</x:v>
      </x:c>
      <x:c r="I85" s="42" t="n">
        <x:v>582795850045</x:v>
      </x:c>
      <x:c r="J85" s="42" t="n">
        <x:f>SUM(F85:I85)</x:f>
        <x:v>1978495535892</x:v>
      </x:c>
      <x:c r="K85" s="42" t="n">
        <x:v>148825892758</x:v>
      </x:c>
      <x:c r="L85" s="42" t="n">
        <x:v>110083654525</x:v>
      </x:c>
      <x:c r="M85" s="42" t="n">
        <x:v>148523841185</x:v>
      </x:c>
      <x:c r="N85" s="42" t="n">
        <x:v>144057599158</x:v>
      </x:c>
      <x:c r="O85" s="42" t="n">
        <x:f>SUM(K85:N85)</x:f>
        <x:v>551490987626</x:v>
      </x:c>
      <x:c r="P85" s="45" t="n">
        <x:f>IFERROR(O85/J85,0)</x:f>
        <x:v>0.27874259891992204</x:v>
      </x:c>
    </x:row>
    <x:row r="86">
      <x:c r="A86" s="33" t="n">
        <x:v>82</x:v>
      </x:c>
      <x:c r="B86" s="30" t="str">
        <x:v>한샘</x:v>
      </x:c>
      <x:c r="C86" s="36" t="n">
        <x:v>161693</x:v>
      </x:c>
      <x:c r="D86" s="39" t="n">
        <x:v>9240</x:v>
      </x:c>
      <x:c r="E86" s="33" t="str">
        <x:v>CFS</x:v>
      </x:c>
      <x:c r="F86" s="42" t="n">
        <x:v>469254590342</x:v>
      </x:c>
      <x:c r="G86" s="42" t="n">
        <x:v>514793312892</x:v>
      </x:c>
      <x:c r="H86" s="42" t="n">
        <x:v>480885964222</x:v>
      </x:c>
      <x:c r="I86" s="42" t="n">
        <x:v>502013166363</x:v>
      </x:c>
      <x:c r="J86" s="42" t="n">
        <x:f>SUM(F86:I86)</x:f>
        <x:v>1966947033819</x:v>
      </x:c>
      <x:c r="K86" s="42" t="n">
        <x:v>-15736685959</x:v>
      </x:c>
      <x:c r="L86" s="42" t="n">
        <x:v>1226020361</x:v>
      </x:c>
      <x:c r="M86" s="42" t="n">
        <x:v>4918635481</x:v>
      </x:c>
      <x:c r="N86" s="42" t="n">
        <x:v>11538638969</x:v>
      </x:c>
      <x:c r="O86" s="42" t="n">
        <x:f>SUM(K86:N86)</x:f>
        <x:v>1946608852</x:v>
      </x:c>
      <x:c r="P86" s="45" t="n">
        <x:f>IFERROR(O86/J86,0)</x:f>
        <x:v>0.00098966002567974</x:v>
      </x:c>
    </x:row>
    <x:row r="87">
      <x:c r="A87" s="33" t="n">
        <x:v>83</x:v>
      </x:c>
      <x:c r="B87" s="30" t="str">
        <x:v>유한양행</x:v>
      </x:c>
      <x:c r="C87" s="36" t="n">
        <x:v>145109</x:v>
      </x:c>
      <x:c r="D87" s="39" t="n">
        <x:v>100</x:v>
      </x:c>
      <x:c r="E87" s="33" t="str">
        <x:v>CFS</x:v>
      </x:c>
      <x:c r="F87" s="42" t="n">
        <x:v>443047818557</x:v>
      </x:c>
      <x:c r="G87" s="42" t="n">
        <x:v>495722476266</x:v>
      </x:c>
      <x:c r="H87" s="42" t="n">
        <x:v>483063443680</x:v>
      </x:c>
      <x:c r="I87" s="42" t="n">
        <x:v>437150021163</x:v>
      </x:c>
      <x:c r="J87" s="42" t="n">
        <x:f>SUM(F87:I87)</x:f>
        <x:v>1858983759666</x:v>
      </x:c>
      <x:c r="K87" s="42" t="n">
        <x:v>22630010546</x:v>
      </x:c>
      <x:c r="L87" s="42" t="n">
        <x:v>27296041160</x:v>
      </x:c>
      <x:c r="M87" s="42" t="n">
        <x:v>883255315</x:v>
      </x:c>
      <x:c r="N87" s="42" t="n">
        <x:v>5950488041</x:v>
      </x:c>
      <x:c r="O87" s="42" t="n">
        <x:f>SUM(K87:N87)</x:f>
        <x:v>56759795062</x:v>
      </x:c>
      <x:c r="P87" s="45" t="n">
        <x:f>IFERROR(O87/J87,0)</x:f>
        <x:v>0.030532700873189943</x:v>
      </x:c>
    </x:row>
    <x:row r="88">
      <x:c r="A88" s="33" t="n">
        <x:v>84</x:v>
      </x:c>
      <x:c r="B88" s="30" t="str">
        <x:v>코스맥스</x:v>
      </x:c>
      <x:c r="C88" s="36" t="n">
        <x:v>1009789</x:v>
      </x:c>
      <x:c r="D88" s="39" t="n">
        <x:v>192820</x:v>
      </x:c>
      <x:c r="E88" s="33" t="str">
        <x:v>CFS</x:v>
      </x:c>
      <x:c r="F88" s="42" t="n">
        <x:v>403260875312</x:v>
      </x:c>
      <x:c r="G88" s="42" t="n">
        <x:v>479265546131</x:v>
      </x:c>
      <x:c r="H88" s="42" t="n">
        <x:v>458266795254</x:v>
      </x:c>
      <x:c r="I88" s="42" t="n">
        <x:v>436701231623</x:v>
      </x:c>
      <x:c r="J88" s="42" t="n">
        <x:f>SUM(F88:I88)</x:f>
        <x:v>1777494448320</x:v>
      </x:c>
      <x:c r="K88" s="42" t="n">
        <x:v>13811866518</x:v>
      </x:c>
      <x:c r="L88" s="42" t="n">
        <x:v>46047093660</x:v>
      </x:c>
      <x:c r="M88" s="42" t="n">
        <x:v>33304646349</x:v>
      </x:c>
      <x:c r="N88" s="42" t="n">
        <x:v>22522173329</x:v>
      </x:c>
      <x:c r="O88" s="42" t="n">
        <x:f>SUM(K88:N88)</x:f>
        <x:v>115685779856</x:v>
      </x:c>
      <x:c r="P88" s="45" t="n">
        <x:f>IFERROR(O88/J88,0)</x:f>
        <x:v>0.06508362372964961</x:v>
      </x:c>
    </x:row>
    <x:row r="89">
      <x:c r="A89" s="33" t="n">
        <x:v>85</x:v>
      </x:c>
      <x:c r="B89" s="30" t="str">
        <x:v>종근당</x:v>
      </x:c>
      <x:c r="C89" s="36" t="n">
        <x:v>992871</x:v>
      </x:c>
      <x:c r="D89" s="39" t="n">
        <x:v>185750</x:v>
      </x:c>
      <x:c r="E89" s="33" t="str">
        <x:v>CFS</x:v>
      </x:c>
      <x:c r="F89" s="42" t="n">
        <x:v>365181132221</x:v>
      </x:c>
      <x:c r="G89" s="42" t="n">
        <x:v>396005766344</x:v>
      </x:c>
      <x:c r="H89" s="42" t="n">
        <x:v>403606492702</x:v>
      </x:c>
      <x:c r="I89" s="42" t="n">
        <x:v>504611047502</x:v>
      </x:c>
      <x:c r="J89" s="42" t="n">
        <x:f>SUM(F89:I89)</x:f>
        <x:v>1669404438769</x:v>
      </x:c>
      <x:c r="K89" s="42" t="n">
        <x:v>31492259341</x:v>
      </x:c>
      <x:c r="L89" s="42" t="n">
        <x:v>44999544219</x:v>
      </x:c>
      <x:c r="M89" s="42" t="n">
        <x:v>55734020589</x:v>
      </x:c>
      <x:c r="N89" s="42" t="n">
        <x:v>114373454893</x:v>
      </x:c>
      <x:c r="O89" s="42" t="n">
        <x:f>SUM(K89:N89)</x:f>
        <x:v>246599279042</x:v>
      </x:c>
      <x:c r="P89" s="45" t="n">
        <x:f>IFERROR(O89/J89,0)</x:f>
        <x:v>0.14771691827046987</x:v>
      </x:c>
    </x:row>
    <x:row r="90">
      <x:c r="A90" s="33" t="n">
        <x:v>86</x:v>
      </x:c>
      <x:c r="B90" s="30" t="str">
        <x:v>녹십자</x:v>
      </x:c>
      <x:c r="C90" s="36" t="n">
        <x:v>129679</x:v>
      </x:c>
      <x:c r="D90" s="39" t="n">
        <x:v>6280</x:v>
      </x:c>
      <x:c r="E90" s="33" t="str">
        <x:v>CFS</x:v>
      </x:c>
      <x:c r="F90" s="42" t="n">
        <x:v>349481781014</x:v>
      </x:c>
      <x:c r="G90" s="42" t="n">
        <x:v>432867682298</x:v>
      </x:c>
      <x:c r="H90" s="42" t="n">
        <x:v>439350043803</x:v>
      </x:c>
      <x:c r="I90" s="42" t="n">
        <x:v>404944308705</x:v>
      </x:c>
      <x:c r="J90" s="42" t="n">
        <x:f>SUM(F90:I90)</x:f>
        <x:v>1626643815820</x:v>
      </x:c>
      <x:c r="K90" s="42" t="n">
        <x:v>-13587731070</x:v>
      </x:c>
      <x:c r="L90" s="42" t="n">
        <x:v>23675827037</x:v>
      </x:c>
      <x:c r="M90" s="42" t="n">
        <x:v>32754430038</x:v>
      </x:c>
      <x:c r="N90" s="42" t="n">
        <x:v>-8406356469</x:v>
      </x:c>
      <x:c r="O90" s="42" t="n">
        <x:f>SUM(K90:N90)</x:f>
        <x:v>34436169536</x:v>
      </x:c>
      <x:c r="P90" s="45" t="n">
        <x:f>IFERROR(O90/J90,0)</x:f>
        <x:v>0.021170073743919493</x:v>
      </x:c>
    </x:row>
    <x:row r="91">
      <x:c r="A91" s="33" t="n">
        <x:v>87</x:v>
      </x:c>
      <x:c r="B91" s="30" t="str">
        <x:v>한전KPS</x:v>
      </x:c>
      <x:c r="C91" s="36" t="n">
        <x:v>159218</x:v>
      </x:c>
      <x:c r="D91" s="39" t="n">
        <x:v>51600</x:v>
      </x:c>
      <x:c r="E91" s="33" t="str">
        <x:v>CFS</x:v>
      </x:c>
      <x:c r="F91" s="42" t="n">
        <x:v>351112333999</x:v>
      </x:c>
      <x:c r="G91" s="42" t="n">
        <x:v>410017881231</x:v>
      </x:c>
      <x:c r="H91" s="42" t="n">
        <x:v>332288435853</x:v>
      </x:c>
      <x:c r="I91" s="42" t="n">
        <x:v>440432140411</x:v>
      </x:c>
      <x:c r="J91" s="42" t="n">
        <x:f>SUM(F91:I91)</x:f>
        <x:v>1533850791494</x:v>
      </x:c>
      <x:c r="K91" s="42" t="n">
        <x:v>54913122091</x:v>
      </x:c>
      <x:c r="L91" s="42" t="n">
        <x:v>48849880833</x:v>
      </x:c>
      <x:c r="M91" s="42" t="n">
        <x:v>36416616736</x:v>
      </x:c>
      <x:c r="N91" s="42" t="n">
        <x:v>59196761588</x:v>
      </x:c>
      <x:c r="O91" s="42" t="n">
        <x:f>SUM(K91:N91)</x:f>
        <x:v>199376381248</x:v>
      </x:c>
      <x:c r="P91" s="45" t="n">
        <x:f>IFERROR(O91/J91,0)</x:f>
        <x:v>0.12998420860336982</x:v>
      </x:c>
    </x:row>
    <x:row r="92">
      <x:c r="A92" s="33" t="n">
        <x:v>88</x:v>
      </x:c>
      <x:c r="B92" s="30" t="str">
        <x:v>한미약품</x:v>
      </x:c>
      <x:c r="C92" s="36" t="n">
        <x:v>828497</x:v>
      </x:c>
      <x:c r="D92" s="39" t="n">
        <x:v>128940</x:v>
      </x:c>
      <x:c r="E92" s="33" t="str">
        <x:v>CFS</x:v>
      </x:c>
      <x:c r="F92" s="42" t="n">
        <x:v>361188556781</x:v>
      </x:c>
      <x:c r="G92" s="42" t="n">
        <x:v>342734988889</x:v>
      </x:c>
      <x:c r="H92" s="42" t="n">
        <x:v>364613172738</x:v>
      </x:c>
      <x:c r="I92" s="42" t="n">
        <x:v>422350745318</x:v>
      </x:c>
      <x:c r="J92" s="42" t="n">
        <x:f>SUM(F92:I92)</x:f>
        <x:v>1490887463726</x:v>
      </x:c>
      <x:c r="K92" s="42" t="n">
        <x:v>59919008815</x:v>
      </x:c>
      <x:c r="L92" s="42" t="n">
        <x:v>33154546517</x:v>
      </x:c>
      <x:c r="M92" s="42" t="n">
        <x:v>57517655261</x:v>
      </x:c>
      <x:c r="N92" s="42" t="n">
        <x:v>70099854427</x:v>
      </x:c>
      <x:c r="O92" s="42" t="n">
        <x:f>SUM(K92:N92)</x:f>
        <x:v>220691065020</x:v>
      </x:c>
      <x:c r="P92" s="45" t="n">
        <x:f>IFERROR(O92/J92,0)</x:f>
        <x:v>0.14802664211050023</x:v>
      </x:c>
    </x:row>
    <x:row r="93">
      <x:c r="A93" s="33" t="n">
        <x:v>89</x:v>
      </x:c>
      <x:c r="B93" s="30" t="str">
        <x:v>대웅제약</x:v>
      </x:c>
      <x:c r="C93" s="36" t="n">
        <x:v>427483</x:v>
      </x:c>
      <x:c r="D93" s="39" t="n">
        <x:v>69620</x:v>
      </x:c>
      <x:c r="E93" s="33" t="str">
        <x:v>CFS</x:v>
      </x:c>
      <x:c r="F93" s="42" t="n">
        <x:v>322414531612</x:v>
      </x:c>
      <x:c r="G93" s="42" t="n">
        <x:v>350191474410</x:v>
      </x:c>
      <x:c r="H93" s="42" t="n">
        <x:v>340899763085</x:v>
      </x:c>
      <x:c r="I93" s="42" t="n">
        <x:v>361822975770</x:v>
      </x:c>
      <x:c r="J93" s="42" t="n">
        <x:f>SUM(F93:I93)</x:f>
        <x:v>1375328744877</x:v>
      </x:c>
      <x:c r="K93" s="42" t="n">
        <x:v>24473801906</x:v>
      </x:c>
      <x:c r="L93" s="42" t="n">
        <x:v>40055459193</x:v>
      </x:c>
      <x:c r="M93" s="42" t="n">
        <x:v>29381130313</x:v>
      </x:c>
      <x:c r="N93" s="42" t="n">
        <x:v>28681557875</x:v>
      </x:c>
      <x:c r="O93" s="42" t="n">
        <x:f>SUM(K93:N93)</x:f>
        <x:v>122591949287</x:v>
      </x:c>
      <x:c r="P93" s="45" t="n">
        <x:f>IFERROR(O93/J93,0)</x:f>
        <x:v>0.0891364699121182</x:v>
      </x:c>
    </x:row>
    <x:row r="94">
      <x:c r="A94" s="33" t="n">
        <x:v>90</x:v>
      </x:c>
      <x:c r="B94" s="30" t="str">
        <x:v>크래프톤</x:v>
      </x:c>
      <x:c r="C94" s="36" t="n">
        <x:v>760971</x:v>
      </x:c>
      <x:c r="D94" s="39" t="n">
        <x:v>259960</x:v>
      </x:c>
      <x:c r="E94" s="33" t="str">
        <x:v>CFS</x:v>
      </x:c>
      <x:c r="F94" s="42"/>
      <x:c r="G94" s="42"/>
      <x:c r="H94" s="42" t="n">
        <x:v>450273957736</x:v>
      </x:c>
      <x:c r="I94" s="42" t="n">
        <x:v>534554168785</x:v>
      </x:c>
      <x:c r="J94" s="42" t="n">
        <x:f>SUM(F94:I94)</x:f>
        <x:v>984828126521</x:v>
      </x:c>
      <x:c r="K94" s="42" t="n">
        <x:v>282999224513</x:v>
      </x:c>
      <x:c r="L94" s="42" t="n">
        <x:v>131460412637</x:v>
      </x:c>
      <x:c r="M94" s="42" t="n">
        <x:v>189259011177</x:v>
      </x:c>
      <x:c r="N94" s="42" t="n">
        <x:v>164326960643</x:v>
      </x:c>
      <x:c r="O94" s="42" t="n">
        <x:f>SUM(K94:N94)</x:f>
        <x:v>768045608970</x:v>
      </x:c>
      <x:c r="P94" s="45" t="n">
        <x:f>IFERROR(O94/J94,0)</x:f>
        <x:v>0.7798778165314946</x:v>
      </x:c>
    </x:row>
    <x:row r="95">
      <x:c r="A95" s="33" t="n">
        <x:v>91</x:v>
      </x:c>
      <x:c r="B95" s="30" t="str">
        <x:v>한진칼</x:v>
      </x:c>
      <x:c r="C95" s="36" t="n">
        <x:v>983040</x:v>
      </x:c>
      <x:c r="D95" s="39" t="n">
        <x:v>180640</x:v>
      </x:c>
      <x:c r="E95" s="33" t="str">
        <x:v>CFS</x:v>
      </x:c>
      <x:c r="F95" s="42" t="n">
        <x:v>62372021221</x:v>
      </x:c>
      <x:c r="G95" s="42" t="n">
        <x:v>66129390297</x:v>
      </x:c>
      <x:c r="H95" s="42" t="n">
        <x:v>76280745981</x:v>
      </x:c>
      <x:c r="I95" s="42" t="n">
        <x:v>70944660226</x:v>
      </x:c>
      <x:c r="J95" s="42" t="n">
        <x:f>SUM(F95:I95)</x:f>
        <x:v>275726817725</x:v>
      </x:c>
      <x:c r="K95" s="42" t="n">
        <x:v>11179824555</x:v>
      </x:c>
      <x:c r="L95" s="42" t="n">
        <x:v>14244724028</x:v>
      </x:c>
      <x:c r="M95" s="42" t="n">
        <x:v>11162190881</x:v>
      </x:c>
      <x:c r="N95" s="42" t="n">
        <x:v>6256344765</x:v>
      </x:c>
      <x:c r="O95" s="42" t="n">
        <x:f>SUM(K95:N95)</x:f>
        <x:v>42843084229</x:v>
      </x:c>
      <x:c r="P95" s="45" t="n">
        <x:f>IFERROR(O95/J95,0)</x:f>
        <x:v>0.1553823620875723</x:v>
      </x:c>
    </x:row>
    <x:row r="96">
      <x:c r="A96" s="34" t="n">
        <x:v>92</x:v>
      </x:c>
      <x:c r="B96" s="31" t="str">
        <x:v>두산밥캣</x:v>
      </x:c>
      <x:c r="C96" s="37" t="n">
        <x:v>1032486</x:v>
      </x:c>
      <x:c r="D96" s="40" t="n">
        <x:v>241560</x:v>
      </x:c>
      <x:c r="E96" s="34" t="str">
        <x:v>CFS</x:v>
      </x:c>
      <x:c r="F96" s="43" t="n">
        <x:v>2405114691000</x:v>
      </x:c>
      <x:c r="G96" s="43" t="n">
        <x:v>2672118060000</x:v>
      </x:c>
      <x:c r="H96" s="43" t="n">
        <x:v>2366036323000</x:v>
      </x:c>
      <x:c r="I96" s="43" t="n">
        <x:v>-7435793333222</x:v>
      </x:c>
      <x:c r="J96" s="43" t="n">
        <x:f>SUM(F96:I96)</x:f>
        <x:v>7475740778</x:v>
      </x:c>
      <x:c r="K96" s="43" t="n">
        <x:v>369675374000</x:v>
      </x:c>
      <x:c r="L96" s="43" t="n">
        <x:v>466549461000</x:v>
      </x:c>
      <x:c r="M96" s="43" t="n">
        <x:v>297603933000</x:v>
      </x:c>
      <x:c r="N96" s="43" t="n">
        <x:v>-1132764045025</x:v>
      </x:c>
      <x:c r="O96" s="43" t="n">
        <x:f>SUM(K96:N96)</x:f>
        <x:v>1064722975</x:v>
      </x:c>
      <x:c r="P96" s="46" t="n">
        <x:f>IFERROR(O96/J96,0)</x:f>
        <x:v>0.14242374188967633</x:v>
      </x:c>
    </x:row>
    <x:row r="98" ht="24" customHeight="1">
      <x:c r="A98" s="48" t="str">
        <x:v>합계</x:v>
      </x:c>
      <x:c r="B98" s="48"/>
      <x:c r="C98" s="48"/>
      <x:c r="D98" s="48"/>
      <x:c r="E98" s="48"/>
      <x:c r="F98" s="49" t="n">
        <x:f>SUM(F5:F96)</x:f>
        <x:v>455070828814974</x:v>
      </x:c>
      <x:c r="G98" s="49" t="n">
        <x:f>SUM(G5:G96)</x:f>
        <x:v>455655863083844</x:v>
      </x:c>
      <x:c r="H98" s="49" t="n">
        <x:f>SUM(H5:H96)</x:f>
        <x:v>468165093650446</x:v>
      </x:c>
      <x:c r="I98" s="49" t="n">
        <x:f>SUM(I5:I96)</x:f>
        <x:v>479293885992563</x:v>
      </x:c>
      <x:c r="J98" s="49" t="n">
        <x:f>SUM(J5:J96)</x:f>
        <x:v>1858185671541827</x:v>
      </x:c>
      <x:c r="K98" s="49" t="n">
        <x:f>SUM(K5:K96)</x:f>
        <x:v>12797499947454</x:v>
      </x:c>
      <x:c r="L98" s="49" t="n">
        <x:f>SUM(L5:L96)</x:f>
        <x:v>15630202193699</x:v>
      </x:c>
      <x:c r="M98" s="49" t="n">
        <x:f>SUM(M5:M96)</x:f>
        <x:v>26072410069559</x:v>
      </x:c>
      <x:c r="N98" s="49" t="n">
        <x:f>SUM(N5:N96)</x:f>
        <x:v>20016283093569</x:v>
      </x:c>
      <x:c r="O98" s="49" t="n">
        <x:f>SUM(O5:O96)</x:f>
        <x:v>74516395304281</x:v>
      </x:c>
      <x:c r="P98" s="50" t="n">
        <x:f>IFERROR(O98/J98,0)</x:f>
        <x:v>0.04010169513493833</x:v>
      </x:c>
    </x:row>
  </x:sheetData>
  <x:mergeCells>
    <x:mergeCell ref="A1:P1"/>
    <x:mergeCell ref="A2:P2"/>
    <x:mergeCell ref="A3:P3"/>
    <x:mergeCell ref="A98:E98"/>
  </x:mergeCells>
  <x:pageMargins left="0.7" right="0.7" top="0.75" bottom="0.75" header="0.3" footer="0.3"/>
  <x:tableParts count="1">
    <x:tablePart xmlns:r="http://schemas.openxmlformats.org/officeDocument/2006/relationships" r:id="R510d7b47ea634ba6"/>
  </x:tableParts>
</x:worksheet>
</file>